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NN\"/>
    </mc:Choice>
  </mc:AlternateContent>
  <xr:revisionPtr revIDLastSave="0" documentId="13_ncr:1_{AACBFF07-5DBE-476E-B24D-C963BED7AC85}" xr6:coauthVersionLast="47" xr6:coauthVersionMax="47" xr10:uidLastSave="{00000000-0000-0000-0000-000000000000}"/>
  <bookViews>
    <workbookView minimized="1" xWindow="1060" yWindow="1060" windowWidth="14400" windowHeight="7270" xr2:uid="{7C09D389-2584-498C-A942-95F45B2EC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AF2" i="1" s="1"/>
  <c r="L145" i="1"/>
  <c r="L23" i="1"/>
  <c r="AF23" i="1" s="1"/>
  <c r="AF14" i="1"/>
  <c r="AF15" i="1"/>
  <c r="AF16" i="1"/>
  <c r="AF17" i="1"/>
  <c r="AF18" i="1"/>
  <c r="AF19" i="1"/>
  <c r="AF20" i="1"/>
  <c r="AF145" i="1"/>
  <c r="L3" i="1"/>
  <c r="AF3" i="1" s="1"/>
  <c r="L4" i="1"/>
  <c r="AF4" i="1" s="1"/>
  <c r="L5" i="1"/>
  <c r="AF5" i="1" s="1"/>
  <c r="L6" i="1"/>
  <c r="AF6" i="1" s="1"/>
  <c r="L7" i="1"/>
  <c r="AF7" i="1" s="1"/>
  <c r="L8" i="1"/>
  <c r="AF8" i="1" s="1"/>
  <c r="L9" i="1"/>
  <c r="AF9" i="1" s="1"/>
  <c r="L10" i="1"/>
  <c r="AF10" i="1" s="1"/>
  <c r="L11" i="1"/>
  <c r="AF11" i="1" s="1"/>
  <c r="L12" i="1"/>
  <c r="AF12" i="1" s="1"/>
  <c r="L13" i="1"/>
  <c r="AF13" i="1" s="1"/>
  <c r="L21" i="1"/>
  <c r="AF21" i="1" s="1"/>
  <c r="L22" i="1"/>
  <c r="AF22" i="1" s="1"/>
  <c r="L24" i="1"/>
  <c r="AF24" i="1" s="1"/>
  <c r="L25" i="1"/>
  <c r="AF25" i="1" s="1"/>
  <c r="L26" i="1"/>
  <c r="AF26" i="1" s="1"/>
  <c r="L27" i="1"/>
  <c r="AF27" i="1" s="1"/>
  <c r="L28" i="1"/>
  <c r="AF28" i="1" s="1"/>
  <c r="L29" i="1"/>
  <c r="AF29" i="1" s="1"/>
  <c r="L30" i="1"/>
  <c r="AF30" i="1" s="1"/>
  <c r="L31" i="1"/>
  <c r="AF31" i="1" s="1"/>
  <c r="L32" i="1"/>
  <c r="AF32" i="1" s="1"/>
  <c r="L33" i="1"/>
  <c r="AF33" i="1" s="1"/>
  <c r="L34" i="1"/>
  <c r="AF34" i="1" s="1"/>
  <c r="L35" i="1"/>
  <c r="AF35" i="1" s="1"/>
  <c r="L36" i="1"/>
  <c r="AF36" i="1" s="1"/>
  <c r="L37" i="1"/>
  <c r="AF37" i="1" s="1"/>
  <c r="L38" i="1"/>
  <c r="AF38" i="1" s="1"/>
  <c r="L39" i="1"/>
  <c r="AF39" i="1" s="1"/>
  <c r="L40" i="1"/>
  <c r="AF40" i="1" s="1"/>
  <c r="L41" i="1"/>
  <c r="AF41" i="1" s="1"/>
  <c r="L42" i="1"/>
  <c r="AF42" i="1" s="1"/>
  <c r="L43" i="1"/>
  <c r="AF43" i="1" s="1"/>
  <c r="L44" i="1"/>
  <c r="AF44" i="1" s="1"/>
  <c r="L45" i="1"/>
  <c r="AF45" i="1" s="1"/>
  <c r="L46" i="1"/>
  <c r="AF46" i="1" s="1"/>
  <c r="L47" i="1"/>
  <c r="AF47" i="1" s="1"/>
  <c r="L48" i="1"/>
  <c r="AF48" i="1" s="1"/>
  <c r="L49" i="1"/>
  <c r="AF49" i="1" s="1"/>
  <c r="L50" i="1"/>
  <c r="AF50" i="1" s="1"/>
  <c r="L51" i="1"/>
  <c r="AF51" i="1" s="1"/>
  <c r="L52" i="1"/>
  <c r="AF52" i="1" s="1"/>
  <c r="L53" i="1"/>
  <c r="AF53" i="1" s="1"/>
  <c r="L54" i="1"/>
  <c r="AF54" i="1" s="1"/>
  <c r="L55" i="1"/>
  <c r="AF55" i="1" s="1"/>
  <c r="L56" i="1"/>
  <c r="AF56" i="1" s="1"/>
  <c r="L57" i="1"/>
  <c r="AF57" i="1" s="1"/>
  <c r="L58" i="1"/>
  <c r="AF58" i="1" s="1"/>
  <c r="L59" i="1"/>
  <c r="AF59" i="1" s="1"/>
  <c r="L60" i="1"/>
  <c r="AF60" i="1" s="1"/>
  <c r="L61" i="1"/>
  <c r="AF61" i="1" s="1"/>
  <c r="L62" i="1"/>
  <c r="AF62" i="1" s="1"/>
  <c r="L63" i="1"/>
  <c r="AF63" i="1" s="1"/>
  <c r="L64" i="1"/>
  <c r="AF64" i="1" s="1"/>
  <c r="L65" i="1"/>
  <c r="AF65" i="1" s="1"/>
  <c r="L66" i="1"/>
  <c r="AF66" i="1" s="1"/>
  <c r="L67" i="1"/>
  <c r="AF67" i="1" s="1"/>
  <c r="L68" i="1"/>
  <c r="AF68" i="1" s="1"/>
  <c r="L69" i="1"/>
  <c r="AF69" i="1" s="1"/>
  <c r="L70" i="1"/>
  <c r="AF70" i="1" s="1"/>
  <c r="L71" i="1"/>
  <c r="AF71" i="1" s="1"/>
  <c r="L72" i="1"/>
  <c r="AF72" i="1" s="1"/>
  <c r="L73" i="1"/>
  <c r="AF73" i="1" s="1"/>
  <c r="L74" i="1"/>
  <c r="AF74" i="1" s="1"/>
  <c r="L75" i="1"/>
  <c r="AF75" i="1" s="1"/>
  <c r="L76" i="1"/>
  <c r="AF76" i="1" s="1"/>
  <c r="L77" i="1"/>
  <c r="AF77" i="1" s="1"/>
  <c r="L78" i="1"/>
  <c r="AF78" i="1" s="1"/>
  <c r="L79" i="1"/>
  <c r="AF79" i="1" s="1"/>
  <c r="L80" i="1"/>
  <c r="AF80" i="1" s="1"/>
  <c r="L81" i="1"/>
  <c r="AF81" i="1" s="1"/>
  <c r="L82" i="1"/>
  <c r="AF82" i="1" s="1"/>
  <c r="L83" i="1"/>
  <c r="AF83" i="1" s="1"/>
  <c r="L84" i="1"/>
  <c r="AF84" i="1" s="1"/>
  <c r="L85" i="1"/>
  <c r="AF85" i="1" s="1"/>
  <c r="L86" i="1"/>
  <c r="AF86" i="1" s="1"/>
  <c r="L87" i="1"/>
  <c r="AF87" i="1" s="1"/>
  <c r="L88" i="1"/>
  <c r="AF88" i="1" s="1"/>
  <c r="L89" i="1"/>
  <c r="AF89" i="1" s="1"/>
  <c r="L90" i="1"/>
  <c r="AF90" i="1" s="1"/>
  <c r="L91" i="1"/>
  <c r="AF91" i="1" s="1"/>
  <c r="L92" i="1"/>
  <c r="AF92" i="1" s="1"/>
  <c r="L93" i="1"/>
  <c r="AF93" i="1" s="1"/>
  <c r="L94" i="1"/>
  <c r="AF94" i="1" s="1"/>
  <c r="L95" i="1"/>
  <c r="AF95" i="1" s="1"/>
  <c r="L96" i="1"/>
  <c r="AF96" i="1" s="1"/>
  <c r="L97" i="1"/>
  <c r="AF97" i="1" s="1"/>
  <c r="L98" i="1"/>
  <c r="AF98" i="1" s="1"/>
  <c r="L99" i="1"/>
  <c r="AF99" i="1" s="1"/>
  <c r="L100" i="1"/>
  <c r="AF100" i="1" s="1"/>
  <c r="L101" i="1"/>
  <c r="AF101" i="1" s="1"/>
  <c r="L102" i="1"/>
  <c r="AF102" i="1" s="1"/>
  <c r="L103" i="1"/>
  <c r="AF103" i="1" s="1"/>
  <c r="L104" i="1"/>
  <c r="AF104" i="1" s="1"/>
  <c r="L105" i="1"/>
  <c r="AF105" i="1" s="1"/>
  <c r="L106" i="1"/>
  <c r="AF106" i="1" s="1"/>
  <c r="L107" i="1"/>
  <c r="AF107" i="1" s="1"/>
  <c r="L108" i="1"/>
  <c r="AF108" i="1" s="1"/>
  <c r="L109" i="1"/>
  <c r="AF109" i="1" s="1"/>
  <c r="L110" i="1"/>
  <c r="AF110" i="1" s="1"/>
  <c r="L111" i="1"/>
  <c r="AF111" i="1" s="1"/>
  <c r="L112" i="1"/>
  <c r="AF112" i="1" s="1"/>
  <c r="L113" i="1"/>
  <c r="AF113" i="1" s="1"/>
  <c r="L114" i="1"/>
  <c r="AF114" i="1" s="1"/>
  <c r="L115" i="1"/>
  <c r="AF115" i="1" s="1"/>
  <c r="L116" i="1"/>
  <c r="AF116" i="1" s="1"/>
  <c r="L117" i="1"/>
  <c r="AF117" i="1" s="1"/>
  <c r="L118" i="1"/>
  <c r="AF118" i="1" s="1"/>
  <c r="L119" i="1"/>
  <c r="AF119" i="1" s="1"/>
  <c r="L120" i="1"/>
  <c r="AF120" i="1" s="1"/>
  <c r="L121" i="1"/>
  <c r="AF121" i="1" s="1"/>
  <c r="L122" i="1"/>
  <c r="AF122" i="1" s="1"/>
  <c r="L123" i="1"/>
  <c r="AF123" i="1" s="1"/>
  <c r="L124" i="1"/>
  <c r="AF124" i="1" s="1"/>
  <c r="L125" i="1"/>
  <c r="AF125" i="1" s="1"/>
  <c r="L126" i="1"/>
  <c r="AF126" i="1" s="1"/>
  <c r="L127" i="1"/>
  <c r="AF127" i="1" s="1"/>
  <c r="L128" i="1"/>
  <c r="AF128" i="1" s="1"/>
  <c r="L129" i="1"/>
  <c r="AF129" i="1" s="1"/>
  <c r="L130" i="1"/>
  <c r="AF130" i="1" s="1"/>
  <c r="L131" i="1"/>
  <c r="AF131" i="1" s="1"/>
  <c r="L132" i="1"/>
  <c r="AF132" i="1" s="1"/>
  <c r="L133" i="1"/>
  <c r="AF133" i="1" s="1"/>
  <c r="L134" i="1"/>
  <c r="AF134" i="1" s="1"/>
  <c r="L135" i="1"/>
  <c r="AF135" i="1" s="1"/>
  <c r="L136" i="1"/>
  <c r="AF136" i="1" s="1"/>
  <c r="L137" i="1"/>
  <c r="AF137" i="1" s="1"/>
  <c r="L138" i="1"/>
  <c r="AF138" i="1" s="1"/>
  <c r="L139" i="1"/>
  <c r="AF139" i="1" s="1"/>
  <c r="L140" i="1"/>
  <c r="AF140" i="1" s="1"/>
  <c r="L141" i="1"/>
  <c r="AF141" i="1" s="1"/>
  <c r="L142" i="1"/>
  <c r="AF142" i="1" s="1"/>
  <c r="L143" i="1"/>
  <c r="AF143" i="1" s="1"/>
  <c r="L144" i="1"/>
  <c r="AF144" i="1" s="1"/>
  <c r="L146" i="1"/>
  <c r="AF146" i="1" s="1"/>
  <c r="L147" i="1"/>
  <c r="AF147" i="1" s="1"/>
  <c r="L148" i="1"/>
  <c r="AF148" i="1" s="1"/>
  <c r="L149" i="1"/>
  <c r="AF149" i="1" s="1"/>
  <c r="L150" i="1"/>
  <c r="AF150" i="1" s="1"/>
  <c r="L151" i="1"/>
  <c r="AF151" i="1" s="1"/>
  <c r="L152" i="1"/>
  <c r="AF152" i="1" s="1"/>
  <c r="L153" i="1"/>
  <c r="AF153" i="1" s="1"/>
  <c r="L154" i="1"/>
  <c r="AF154" i="1" s="1"/>
  <c r="L155" i="1"/>
  <c r="AF155" i="1" s="1"/>
  <c r="L156" i="1"/>
  <c r="AF156" i="1" s="1"/>
</calcChain>
</file>

<file path=xl/sharedStrings.xml><?xml version="1.0" encoding="utf-8"?>
<sst xmlns="http://schemas.openxmlformats.org/spreadsheetml/2006/main" count="125" uniqueCount="104">
  <si>
    <t>idbank</t>
  </si>
  <si>
    <t>Tahun</t>
  </si>
  <si>
    <t>ROA</t>
  </si>
  <si>
    <t>ROE</t>
  </si>
  <si>
    <t xml:space="preserve">FDR </t>
  </si>
  <si>
    <t xml:space="preserve">BOPO </t>
  </si>
  <si>
    <t>NIM</t>
  </si>
  <si>
    <t>CAR</t>
  </si>
  <si>
    <t>NPF</t>
  </si>
  <si>
    <t>ICSR</t>
  </si>
  <si>
    <t>ZAKAT (Rp)</t>
  </si>
  <si>
    <t>Jumlah Anggota DPS</t>
  </si>
  <si>
    <t>Kualifikasi pendidikan anggota DPS</t>
  </si>
  <si>
    <t>RAPAT DPS</t>
  </si>
  <si>
    <t>0.5635</t>
  </si>
  <si>
    <t>0.5365</t>
  </si>
  <si>
    <t>0.5625</t>
  </si>
  <si>
    <t>0.5211</t>
  </si>
  <si>
    <t>0.5244</t>
  </si>
  <si>
    <t>0.5272</t>
  </si>
  <si>
    <t>0.5682</t>
  </si>
  <si>
    <t>0.5641</t>
  </si>
  <si>
    <t>0.5990</t>
  </si>
  <si>
    <t>0.9136</t>
  </si>
  <si>
    <t>0.2559</t>
  </si>
  <si>
    <t>0.6719</t>
  </si>
  <si>
    <t>0.542</t>
  </si>
  <si>
    <t>0.521</t>
  </si>
  <si>
    <t>0.771</t>
  </si>
  <si>
    <t>0.563</t>
  </si>
  <si>
    <t>0.4632</t>
  </si>
  <si>
    <t>0.2309</t>
  </si>
  <si>
    <t>0.3017</t>
  </si>
  <si>
    <t>0.2772</t>
  </si>
  <si>
    <t>0.7796</t>
  </si>
  <si>
    <t>0.3971</t>
  </si>
  <si>
    <t>0.708</t>
  </si>
  <si>
    <t>0.688</t>
  </si>
  <si>
    <t>0.2252</t>
  </si>
  <si>
    <t>0.833</t>
  </si>
  <si>
    <t>0.750</t>
  </si>
  <si>
    <t>0.0676</t>
  </si>
  <si>
    <t>0.3608</t>
  </si>
  <si>
    <t>0.4104</t>
  </si>
  <si>
    <t>0.2132</t>
  </si>
  <si>
    <t>0.625</t>
  </si>
  <si>
    <t>0.3476</t>
  </si>
  <si>
    <t>0.0044</t>
  </si>
  <si>
    <t>0.0677</t>
  </si>
  <si>
    <t>0.0526</t>
  </si>
  <si>
    <t>0.3742</t>
  </si>
  <si>
    <t>0.0103</t>
  </si>
  <si>
    <t>0.646</t>
  </si>
  <si>
    <t>0.604</t>
  </si>
  <si>
    <t>0.500</t>
  </si>
  <si>
    <t>0.0475</t>
  </si>
  <si>
    <t>0.729</t>
  </si>
  <si>
    <t>0.0414</t>
  </si>
  <si>
    <t>0.3977</t>
  </si>
  <si>
    <t>0.4130</t>
  </si>
  <si>
    <t>0.4658</t>
  </si>
  <si>
    <t>0.3914</t>
  </si>
  <si>
    <t>0.667</t>
  </si>
  <si>
    <t>0.813</t>
  </si>
  <si>
    <t>0.792</t>
  </si>
  <si>
    <t>0.3120</t>
  </si>
  <si>
    <t>0.8715</t>
  </si>
  <si>
    <t>0.8722</t>
  </si>
  <si>
    <t>0.854</t>
  </si>
  <si>
    <t>0.583</t>
  </si>
  <si>
    <t>0.5983</t>
  </si>
  <si>
    <t>0.1404</t>
  </si>
  <si>
    <t>0.1909</t>
  </si>
  <si>
    <t>0.2560</t>
  </si>
  <si>
    <t>0.2285</t>
  </si>
  <si>
    <t>0.2134</t>
  </si>
  <si>
    <t>0.783</t>
  </si>
  <si>
    <t>0.8295</t>
  </si>
  <si>
    <t>0.1917</t>
  </si>
  <si>
    <t>0.0499</t>
  </si>
  <si>
    <t>0.1175</t>
  </si>
  <si>
    <t>0.396</t>
  </si>
  <si>
    <t>0.354</t>
  </si>
  <si>
    <t>0.333</t>
  </si>
  <si>
    <t>0.4498</t>
  </si>
  <si>
    <t>0.7272</t>
  </si>
  <si>
    <t>GCG1</t>
  </si>
  <si>
    <t>GCG2</t>
  </si>
  <si>
    <t>GCG3</t>
  </si>
  <si>
    <t>GCG4</t>
  </si>
  <si>
    <t>GCG5</t>
  </si>
  <si>
    <t>GCG6</t>
  </si>
  <si>
    <t>GCG7</t>
  </si>
  <si>
    <t>GCG8</t>
  </si>
  <si>
    <t>GCG9</t>
  </si>
  <si>
    <t>GCG10</t>
  </si>
  <si>
    <t>GCG11</t>
  </si>
  <si>
    <t>RowNumber</t>
  </si>
  <si>
    <t>SCIsir</t>
  </si>
  <si>
    <t>SCPSR</t>
  </si>
  <si>
    <t>SCEDR</t>
  </si>
  <si>
    <t>Index</t>
  </si>
  <si>
    <t>Indeks Rasio Kesehatan Bank</t>
  </si>
  <si>
    <t>Kesehatan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</si>
</sst>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rgb="FF1F1F1F"/>
      <name val="Times New Roman"/>
    </font>
    <font>
      <sz val="12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8F8FB"/>
        <bgColor rgb="FFF8F8FB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Alignment="1">
      <alignment horizontal="right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right"/>
    </xf>
    <xf numFmtId="164" fontId="9" fillId="4" borderId="1" xfId="1" applyNumberFormat="1" applyFont="1" applyFill="1" applyBorder="1" applyAlignment="1">
      <alignment horizontal="center" vertical="center" wrapText="1"/>
    </xf>
    <xf numFmtId="164" fontId="11" fillId="0" borderId="0" xfId="1" applyNumberFormat="1" applyFont="1" applyAlignment="1">
      <alignment horizontal="right"/>
    </xf>
    <xf numFmtId="0" fontId="0" fillId="0" borderId="0" xfId="0" applyAlignment="1">
      <alignment wrapText="1"/>
    </xf>
    <xf numFmtId="0" fontId="6" fillId="5" borderId="1" xfId="1" applyFont="1" applyFill="1" applyBorder="1" applyAlignment="1">
      <alignment horizontal="right" vertical="center" wrapText="1"/>
    </xf>
    <xf numFmtId="0" fontId="6" fillId="5" borderId="1" xfId="1" applyFont="1" applyFill="1" applyBorder="1" applyAlignment="1">
      <alignment horizontal="right" vertical="center"/>
    </xf>
    <xf numFmtId="0" fontId="6" fillId="5" borderId="1" xfId="1" applyFont="1" applyFill="1" applyBorder="1" applyAlignment="1">
      <alignment horizontal="right" vertical="top"/>
    </xf>
    <xf numFmtId="0" fontId="2" fillId="5" borderId="1" xfId="1" applyFont="1" applyFill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6" borderId="1" xfId="1" applyFont="1" applyFill="1" applyBorder="1" applyAlignment="1">
      <alignment horizontal="right"/>
    </xf>
    <xf numFmtId="0" fontId="6" fillId="5" borderId="1" xfId="1" applyFont="1" applyFill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10" fillId="0" borderId="1" xfId="1" applyFont="1" applyBorder="1" applyAlignment="1">
      <alignment horizontal="right"/>
    </xf>
    <xf numFmtId="0" fontId="2" fillId="5" borderId="1" xfId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right"/>
    </xf>
    <xf numFmtId="0" fontId="2" fillId="0" borderId="0" xfId="1" applyFont="1"/>
    <xf numFmtId="0" fontId="2" fillId="3" borderId="1" xfId="1" applyFont="1" applyFill="1" applyBorder="1" applyAlignment="1">
      <alignment horizontal="right"/>
    </xf>
    <xf numFmtId="0" fontId="2" fillId="6" borderId="1" xfId="1" applyFont="1" applyFill="1" applyBorder="1" applyAlignment="1">
      <alignment horizontal="right"/>
    </xf>
    <xf numFmtId="0" fontId="1" fillId="0" borderId="0" xfId="1"/>
    <xf numFmtId="0" fontId="2" fillId="5" borderId="1" xfId="1" applyFont="1" applyFill="1" applyBorder="1" applyAlignment="1">
      <alignment horizontal="right" vertical="center" wrapText="1"/>
    </xf>
    <xf numFmtId="0" fontId="10" fillId="3" borderId="1" xfId="1" applyFont="1" applyFill="1" applyBorder="1" applyAlignment="1">
      <alignment horizontal="right"/>
    </xf>
    <xf numFmtId="0" fontId="6" fillId="3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right" vertical="top"/>
    </xf>
    <xf numFmtId="0" fontId="2" fillId="0" borderId="1" xfId="1" applyFont="1" applyBorder="1" applyAlignment="1">
      <alignment horizontal="right" vertical="top"/>
    </xf>
    <xf numFmtId="0" fontId="6" fillId="2" borderId="1" xfId="1" applyFont="1" applyFill="1" applyBorder="1" applyAlignment="1">
      <alignment horizontal="right" vertical="center"/>
    </xf>
    <xf numFmtId="0" fontId="2" fillId="0" borderId="3" xfId="1" applyFont="1" applyBorder="1" applyAlignment="1">
      <alignment vertical="center"/>
    </xf>
    <xf numFmtId="0" fontId="4" fillId="0" borderId="4" xfId="1" applyFont="1" applyBorder="1"/>
    <xf numFmtId="0" fontId="4" fillId="0" borderId="5" xfId="1" applyFont="1" applyBorder="1"/>
    <xf numFmtId="0" fontId="2" fillId="5" borderId="1" xfId="1" applyFont="1" applyFill="1" applyBorder="1" applyAlignment="1">
      <alignment horizontal="right" vertical="top"/>
    </xf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6" fillId="7" borderId="0" xfId="1" applyFont="1" applyFill="1" applyAlignment="1">
      <alignment horizontal="right"/>
    </xf>
    <xf numFmtId="0" fontId="2" fillId="8" borderId="1" xfId="1" applyFont="1" applyFill="1" applyBorder="1" applyAlignment="1">
      <alignment horizontal="right"/>
    </xf>
    <xf numFmtId="0" fontId="10" fillId="5" borderId="1" xfId="1" applyFont="1" applyFill="1" applyBorder="1" applyAlignment="1">
      <alignment horizontal="right"/>
    </xf>
    <xf numFmtId="0" fontId="11" fillId="0" borderId="1" xfId="1" applyFont="1" applyBorder="1" applyAlignment="1">
      <alignment horizontal="right" vertical="top"/>
    </xf>
    <xf numFmtId="0" fontId="11" fillId="0" borderId="1" xfId="1" applyFont="1" applyBorder="1"/>
    <xf numFmtId="0" fontId="11" fillId="5" borderId="1" xfId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 vertical="center"/>
    </xf>
    <xf numFmtId="0" fontId="11" fillId="3" borderId="1" xfId="1" applyFont="1" applyFill="1" applyBorder="1" applyAlignment="1">
      <alignment horizontal="right"/>
    </xf>
    <xf numFmtId="0" fontId="11" fillId="9" borderId="1" xfId="1" applyFont="1" applyFill="1" applyBorder="1" applyAlignment="1">
      <alignment horizontal="right"/>
    </xf>
    <xf numFmtId="0" fontId="8" fillId="0" borderId="1" xfId="1" applyFont="1" applyBorder="1"/>
    <xf numFmtId="0" fontId="2" fillId="0" borderId="1" xfId="1" applyFont="1" applyBorder="1" applyAlignment="1">
      <alignment horizontal="right" vertical="center"/>
    </xf>
    <xf numFmtId="0" fontId="6" fillId="2" borderId="1" xfId="1" applyFont="1" applyFill="1" applyBorder="1" applyAlignment="1">
      <alignment horizontal="right"/>
    </xf>
    <xf numFmtId="0" fontId="11" fillId="5" borderId="1" xfId="1" applyFont="1" applyFill="1" applyBorder="1" applyAlignment="1">
      <alignment horizontal="right" vertical="center"/>
    </xf>
    <xf numFmtId="0" fontId="7" fillId="5" borderId="0" xfId="1" applyFont="1" applyFill="1"/>
    <xf numFmtId="0" fontId="7" fillId="5" borderId="1" xfId="1" applyFont="1" applyFill="1" applyBorder="1" applyAlignment="1">
      <alignment horizontal="right"/>
    </xf>
    <xf numFmtId="0" fontId="2" fillId="2" borderId="3" xfId="1" applyFont="1" applyFill="1" applyBorder="1" applyAlignment="1">
      <alignment vertical="center"/>
    </xf>
    <xf numFmtId="0" fontId="4" fillId="0" borderId="6" xfId="1" applyFont="1" applyBorder="1"/>
    <xf numFmtId="0" fontId="4" fillId="0" borderId="7" xfId="1" applyFont="1" applyBorder="1"/>
    <xf numFmtId="0" fontId="2" fillId="2" borderId="1" xfId="1" applyFont="1" applyFill="1" applyBorder="1" applyAlignment="1">
      <alignment horizontal="right" vertical="center"/>
    </xf>
    <xf numFmtId="0" fontId="6" fillId="8" borderId="1" xfId="1" applyFont="1" applyFill="1" applyBorder="1" applyAlignment="1">
      <alignment horizontal="right"/>
    </xf>
    <xf numFmtId="0" fontId="2" fillId="8" borderId="2" xfId="1" applyFont="1" applyFill="1" applyBorder="1" applyAlignment="1">
      <alignment horizontal="right"/>
    </xf>
    <xf numFmtId="0" fontId="11" fillId="0" borderId="1" xfId="1" applyFont="1" applyBorder="1" applyAlignment="1">
      <alignment horizontal="right"/>
    </xf>
    <xf numFmtId="0" fontId="1" fillId="6" borderId="1" xfId="1" applyFill="1" applyBorder="1"/>
    <xf numFmtId="10" fontId="6" fillId="5" borderId="1" xfId="1" applyNumberFormat="1" applyFont="1" applyFill="1" applyBorder="1" applyAlignment="1">
      <alignment horizontal="right" vertical="center"/>
    </xf>
    <xf numFmtId="10" fontId="2" fillId="5" borderId="1" xfId="1" applyNumberFormat="1" applyFont="1" applyFill="1" applyBorder="1" applyAlignment="1">
      <alignment horizontal="right"/>
    </xf>
    <xf numFmtId="10" fontId="6" fillId="5" borderId="1" xfId="1" applyNumberFormat="1" applyFont="1" applyFill="1" applyBorder="1" applyAlignment="1">
      <alignment horizontal="right"/>
    </xf>
  </cellXfs>
  <cellStyles count="2">
    <cellStyle name="Normal" xfId="0" builtinId="0"/>
    <cellStyle name="Normal 2" xfId="1" xr:uid="{847074C5-57D2-429F-8467-7025E8437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7523-53A6-43FC-A3FE-DB082708FC29}">
  <dimension ref="A1:AF801"/>
  <sheetViews>
    <sheetView tabSelected="1" topLeftCell="A8" workbookViewId="0">
      <selection activeCell="M2" sqref="M2"/>
    </sheetView>
  </sheetViews>
  <sheetFormatPr defaultRowHeight="14.5"/>
  <cols>
    <col min="7" max="7" width="11.90625" bestFit="1" customWidth="1"/>
    <col min="12" max="12" width="9.81640625" bestFit="1" customWidth="1"/>
    <col min="25" max="25" width="16" bestFit="1" customWidth="1"/>
    <col min="32" max="32" width="10.81640625" customWidth="1"/>
  </cols>
  <sheetData>
    <row r="1" spans="1:32" ht="90">
      <c r="A1" t="s">
        <v>101</v>
      </c>
      <c r="B1" s="9" t="s">
        <v>97</v>
      </c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2" t="s">
        <v>102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3" t="s">
        <v>92</v>
      </c>
      <c r="T1" s="3" t="s">
        <v>93</v>
      </c>
      <c r="U1" s="3" t="s">
        <v>94</v>
      </c>
      <c r="V1" s="3" t="s">
        <v>95</v>
      </c>
      <c r="W1" s="3" t="s">
        <v>96</v>
      </c>
      <c r="X1" s="3" t="s">
        <v>9</v>
      </c>
      <c r="Y1" s="2" t="s">
        <v>10</v>
      </c>
      <c r="Z1" s="2" t="s">
        <v>11</v>
      </c>
      <c r="AA1" s="2" t="s">
        <v>12</v>
      </c>
      <c r="AB1" s="4" t="s">
        <v>13</v>
      </c>
      <c r="AC1" s="5" t="s">
        <v>98</v>
      </c>
      <c r="AD1" s="5" t="s">
        <v>99</v>
      </c>
      <c r="AE1" s="7" t="s">
        <v>100</v>
      </c>
      <c r="AF1" s="2" t="s">
        <v>103</v>
      </c>
    </row>
    <row r="2" spans="1:32" ht="15.5">
      <c r="A2">
        <v>0</v>
      </c>
      <c r="B2">
        <v>1</v>
      </c>
      <c r="C2" s="10">
        <v>1</v>
      </c>
      <c r="D2" s="11">
        <v>2016</v>
      </c>
      <c r="E2" s="11">
        <v>2.4799999999999999E-2</v>
      </c>
      <c r="F2" s="12">
        <v>0.1978</v>
      </c>
      <c r="G2" s="11">
        <v>0.84589999999999999</v>
      </c>
      <c r="H2" s="11">
        <v>0.83050000000000002</v>
      </c>
      <c r="I2" s="12">
        <v>7.4700000000000003E-2</v>
      </c>
      <c r="J2" s="11">
        <v>0.2074</v>
      </c>
      <c r="K2" s="11">
        <v>6.9999999999999999E-4</v>
      </c>
      <c r="L2" s="11">
        <f>(E2+F2+I2+J2)/(G2+H2+K2)</f>
        <v>0.30093613976507066</v>
      </c>
      <c r="M2" s="13">
        <v>2</v>
      </c>
      <c r="N2" s="13">
        <v>2</v>
      </c>
      <c r="O2" s="13">
        <v>2</v>
      </c>
      <c r="P2" s="13">
        <v>2</v>
      </c>
      <c r="Q2" s="13">
        <v>2</v>
      </c>
      <c r="R2" s="13">
        <v>2</v>
      </c>
      <c r="S2" s="13">
        <v>2</v>
      </c>
      <c r="T2" s="13">
        <v>2</v>
      </c>
      <c r="U2" s="13">
        <v>2</v>
      </c>
      <c r="V2" s="13">
        <v>2</v>
      </c>
      <c r="W2" s="13">
        <v>2</v>
      </c>
      <c r="X2" s="14">
        <v>0.6</v>
      </c>
      <c r="Y2" s="13">
        <v>1415955795</v>
      </c>
      <c r="Z2" s="15">
        <v>0</v>
      </c>
      <c r="AA2" s="15">
        <v>1</v>
      </c>
      <c r="AB2" s="13">
        <v>1</v>
      </c>
      <c r="AC2" s="17">
        <v>0.95950000000000002</v>
      </c>
      <c r="AD2" s="17">
        <v>0.40839999999999999</v>
      </c>
      <c r="AE2" s="18" t="s">
        <v>14</v>
      </c>
      <c r="AF2" s="11">
        <f t="shared" ref="AF2:AF33" si="0">IF(L2&gt;1,1,0)</f>
        <v>0</v>
      </c>
    </row>
    <row r="3" spans="1:32" ht="15.5">
      <c r="A3">
        <v>1</v>
      </c>
      <c r="B3">
        <v>2</v>
      </c>
      <c r="C3" s="10">
        <v>1</v>
      </c>
      <c r="D3" s="11">
        <v>2017</v>
      </c>
      <c r="E3" s="11">
        <v>2.5100000000000001E-2</v>
      </c>
      <c r="F3" s="12">
        <v>0.2311</v>
      </c>
      <c r="G3" s="11">
        <v>0.69440000000000002</v>
      </c>
      <c r="H3" s="11">
        <v>0.78</v>
      </c>
      <c r="I3" s="12">
        <v>7.6100000000000001E-2</v>
      </c>
      <c r="J3" s="11">
        <v>0.215</v>
      </c>
      <c r="K3" s="11">
        <v>4.0000000000000002E-4</v>
      </c>
      <c r="L3" s="11">
        <f t="shared" ref="L3:L66" si="1">(E3+F3+I3+J3)/(G3+H3+K3)</f>
        <v>0.37110116625983181</v>
      </c>
      <c r="M3" s="13">
        <v>2</v>
      </c>
      <c r="N3" s="19">
        <v>3</v>
      </c>
      <c r="O3" s="19">
        <v>2</v>
      </c>
      <c r="P3" s="19">
        <v>3</v>
      </c>
      <c r="Q3" s="19">
        <v>3</v>
      </c>
      <c r="R3" s="19">
        <v>2</v>
      </c>
      <c r="S3" s="19">
        <v>3</v>
      </c>
      <c r="T3" s="19">
        <v>3</v>
      </c>
      <c r="U3" s="19">
        <v>2</v>
      </c>
      <c r="V3" s="19">
        <v>2</v>
      </c>
      <c r="W3" s="19">
        <v>3</v>
      </c>
      <c r="X3" s="14">
        <v>0.71</v>
      </c>
      <c r="Y3" s="13">
        <v>12846657000</v>
      </c>
      <c r="Z3" s="15">
        <v>0</v>
      </c>
      <c r="AA3" s="15">
        <v>1</v>
      </c>
      <c r="AB3" s="13">
        <v>1</v>
      </c>
      <c r="AC3" s="17">
        <v>0.99870836699999999</v>
      </c>
      <c r="AD3" s="17">
        <v>4.9151604000000002E-2</v>
      </c>
      <c r="AE3" s="18" t="s">
        <v>15</v>
      </c>
      <c r="AF3" s="11">
        <f t="shared" si="0"/>
        <v>0</v>
      </c>
    </row>
    <row r="4" spans="1:32" ht="15.5">
      <c r="A4">
        <v>2</v>
      </c>
      <c r="B4">
        <v>3</v>
      </c>
      <c r="C4" s="10">
        <v>1</v>
      </c>
      <c r="D4" s="11">
        <v>2018</v>
      </c>
      <c r="E4" s="11">
        <v>2.3800000000000002E-2</v>
      </c>
      <c r="F4" s="12">
        <v>0.2329</v>
      </c>
      <c r="G4" s="11">
        <v>0.7198</v>
      </c>
      <c r="H4" s="11">
        <v>0.79090000000000005</v>
      </c>
      <c r="I4" s="12">
        <v>7.7200000000000005E-2</v>
      </c>
      <c r="J4" s="11">
        <v>0.19670000000000001</v>
      </c>
      <c r="K4" s="11">
        <v>4.0000000000000002E-4</v>
      </c>
      <c r="L4" s="11">
        <f t="shared" si="1"/>
        <v>0.35113493481569719</v>
      </c>
      <c r="M4" s="13">
        <v>3</v>
      </c>
      <c r="N4" s="13">
        <v>3</v>
      </c>
      <c r="O4" s="13">
        <v>3</v>
      </c>
      <c r="P4" s="13">
        <v>3</v>
      </c>
      <c r="Q4" s="13">
        <v>3</v>
      </c>
      <c r="R4" s="19">
        <v>2</v>
      </c>
      <c r="S4" s="19">
        <v>3</v>
      </c>
      <c r="T4" s="19">
        <v>3</v>
      </c>
      <c r="U4" s="19">
        <v>2</v>
      </c>
      <c r="V4" s="19">
        <v>2</v>
      </c>
      <c r="W4" s="19">
        <v>3</v>
      </c>
      <c r="X4" s="14">
        <v>0.75</v>
      </c>
      <c r="Y4" s="13">
        <v>9670000000</v>
      </c>
      <c r="Z4" s="15">
        <v>0</v>
      </c>
      <c r="AA4" s="15">
        <v>1</v>
      </c>
      <c r="AB4" s="13">
        <v>1</v>
      </c>
      <c r="AC4" s="17">
        <v>0.99922501200000002</v>
      </c>
      <c r="AD4" s="17">
        <v>5.4592863999999998E-2</v>
      </c>
      <c r="AE4" s="18" t="s">
        <v>16</v>
      </c>
      <c r="AF4" s="11">
        <f t="shared" si="0"/>
        <v>0</v>
      </c>
    </row>
    <row r="5" spans="1:32" ht="15.5">
      <c r="A5">
        <v>3</v>
      </c>
      <c r="B5">
        <v>4</v>
      </c>
      <c r="C5" s="10">
        <v>1</v>
      </c>
      <c r="D5" s="11">
        <v>2019</v>
      </c>
      <c r="E5" s="11">
        <v>2.3300000000000001E-2</v>
      </c>
      <c r="F5" s="12">
        <v>0.2344</v>
      </c>
      <c r="G5" s="11">
        <v>0.68640000000000001</v>
      </c>
      <c r="H5" s="11">
        <v>0.76949999999999996</v>
      </c>
      <c r="I5" s="12">
        <v>7.7200000000000005E-2</v>
      </c>
      <c r="J5" s="11">
        <v>0.189</v>
      </c>
      <c r="K5" s="11">
        <v>4.0000000000000002E-4</v>
      </c>
      <c r="L5" s="11">
        <f t="shared" si="1"/>
        <v>0.35974730481356865</v>
      </c>
      <c r="M5" s="13">
        <v>2</v>
      </c>
      <c r="N5" s="13">
        <v>2</v>
      </c>
      <c r="O5" s="13">
        <v>2</v>
      </c>
      <c r="P5" s="13">
        <v>2</v>
      </c>
      <c r="Q5" s="13">
        <v>2</v>
      </c>
      <c r="R5" s="13">
        <v>2</v>
      </c>
      <c r="S5" s="13">
        <v>2</v>
      </c>
      <c r="T5" s="13">
        <v>2</v>
      </c>
      <c r="U5" s="13">
        <v>1</v>
      </c>
      <c r="V5" s="13">
        <v>2</v>
      </c>
      <c r="W5" s="13">
        <v>2</v>
      </c>
      <c r="X5" s="14">
        <v>0.81</v>
      </c>
      <c r="Y5" s="20">
        <v>768000000</v>
      </c>
      <c r="Z5" s="15">
        <v>0</v>
      </c>
      <c r="AA5" s="15">
        <v>1</v>
      </c>
      <c r="AB5" s="13">
        <v>1</v>
      </c>
      <c r="AC5" s="17">
        <v>0.76497584500000004</v>
      </c>
      <c r="AD5" s="21">
        <v>0.118718069</v>
      </c>
      <c r="AE5" s="18" t="s">
        <v>17</v>
      </c>
      <c r="AF5" s="11">
        <f t="shared" si="0"/>
        <v>0</v>
      </c>
    </row>
    <row r="6" spans="1:32" ht="15.5">
      <c r="A6">
        <v>4</v>
      </c>
      <c r="B6">
        <v>5</v>
      </c>
      <c r="C6" s="10">
        <v>1</v>
      </c>
      <c r="D6" s="11">
        <v>2020</v>
      </c>
      <c r="E6" s="11">
        <v>1.7299999999999999E-2</v>
      </c>
      <c r="F6" s="11">
        <v>0</v>
      </c>
      <c r="G6" s="11">
        <v>0.70820000000000005</v>
      </c>
      <c r="H6" s="11">
        <v>0.81499999999999995</v>
      </c>
      <c r="I6" s="11">
        <v>0</v>
      </c>
      <c r="J6" s="11">
        <v>0.186</v>
      </c>
      <c r="K6" s="11">
        <v>4.0000000000000002E-4</v>
      </c>
      <c r="L6" s="11">
        <f t="shared" si="1"/>
        <v>0.13343397217117353</v>
      </c>
      <c r="M6" s="13">
        <v>2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0.89795918367346939</v>
      </c>
      <c r="Y6" s="22">
        <v>0</v>
      </c>
      <c r="Z6" s="23">
        <v>0</v>
      </c>
      <c r="AA6" s="23">
        <v>0</v>
      </c>
      <c r="AB6" s="13">
        <v>0</v>
      </c>
      <c r="AC6" s="13">
        <v>0</v>
      </c>
      <c r="AD6" s="13">
        <v>0</v>
      </c>
      <c r="AE6" s="18">
        <v>0</v>
      </c>
      <c r="AF6" s="11">
        <f t="shared" si="0"/>
        <v>0</v>
      </c>
    </row>
    <row r="7" spans="1:32" ht="15.5">
      <c r="A7">
        <v>5</v>
      </c>
      <c r="B7">
        <v>6</v>
      </c>
      <c r="C7" s="10">
        <v>2</v>
      </c>
      <c r="D7" s="11">
        <v>2014</v>
      </c>
      <c r="E7" s="11">
        <v>4.2299999999999997E-2</v>
      </c>
      <c r="F7" s="12">
        <v>0.13750000000000001</v>
      </c>
      <c r="G7" s="11">
        <v>0.93969999999999998</v>
      </c>
      <c r="H7" s="11">
        <v>0.85919999999999996</v>
      </c>
      <c r="I7" s="16">
        <v>9.8519999999999996E-2</v>
      </c>
      <c r="J7" s="11">
        <v>0.33879999999999999</v>
      </c>
      <c r="K7" s="11">
        <v>8.6999999999999994E-3</v>
      </c>
      <c r="L7" s="11">
        <f t="shared" si="1"/>
        <v>0.34140296525780045</v>
      </c>
      <c r="M7" s="16">
        <v>2</v>
      </c>
      <c r="N7" s="16">
        <v>2</v>
      </c>
      <c r="O7" s="16">
        <v>2</v>
      </c>
      <c r="P7" s="16">
        <v>2</v>
      </c>
      <c r="Q7" s="16">
        <v>2</v>
      </c>
      <c r="R7" s="16">
        <v>2</v>
      </c>
      <c r="S7" s="16">
        <v>2</v>
      </c>
      <c r="T7" s="16">
        <v>2</v>
      </c>
      <c r="U7" s="16">
        <v>2</v>
      </c>
      <c r="V7" s="16">
        <v>2</v>
      </c>
      <c r="W7" s="16">
        <v>2</v>
      </c>
      <c r="X7" s="19">
        <v>0.7142857142857143</v>
      </c>
      <c r="Y7" s="13">
        <v>0</v>
      </c>
      <c r="Z7" s="15">
        <v>0</v>
      </c>
      <c r="AA7" s="15">
        <v>0</v>
      </c>
      <c r="AB7" s="16">
        <v>1</v>
      </c>
      <c r="AC7" s="20">
        <v>0.99299999999999999</v>
      </c>
      <c r="AD7" s="20">
        <v>2.5600000000000001E-2</v>
      </c>
      <c r="AE7" s="18" t="s">
        <v>18</v>
      </c>
      <c r="AF7" s="11">
        <f t="shared" si="0"/>
        <v>0</v>
      </c>
    </row>
    <row r="8" spans="1:32" ht="15.5">
      <c r="A8">
        <v>6</v>
      </c>
      <c r="B8">
        <v>7</v>
      </c>
      <c r="C8" s="10">
        <v>2</v>
      </c>
      <c r="D8" s="11">
        <v>2015</v>
      </c>
      <c r="E8" s="11">
        <v>5.2400000000000002E-2</v>
      </c>
      <c r="F8" s="12">
        <v>0.1789</v>
      </c>
      <c r="G8" s="11">
        <v>0.95540000000000003</v>
      </c>
      <c r="H8" s="11">
        <v>0.85319999999999996</v>
      </c>
      <c r="I8" s="16">
        <v>7.7660000000000007E-2</v>
      </c>
      <c r="J8" s="11">
        <v>0.3009</v>
      </c>
      <c r="K8" s="11">
        <v>1.6999999999999999E-3</v>
      </c>
      <c r="L8" s="11">
        <f t="shared" si="1"/>
        <v>0.33688338949345414</v>
      </c>
      <c r="M8" s="24">
        <v>2</v>
      </c>
      <c r="N8" s="16">
        <v>2</v>
      </c>
      <c r="O8" s="16">
        <v>2</v>
      </c>
      <c r="P8" s="16">
        <v>2</v>
      </c>
      <c r="Q8" s="16">
        <v>2</v>
      </c>
      <c r="R8" s="16">
        <v>2</v>
      </c>
      <c r="S8" s="16">
        <v>2</v>
      </c>
      <c r="T8" s="16">
        <v>2</v>
      </c>
      <c r="U8" s="16">
        <v>2</v>
      </c>
      <c r="V8" s="16">
        <v>2</v>
      </c>
      <c r="W8" s="16">
        <v>2</v>
      </c>
      <c r="X8" s="19">
        <v>0.67346938775510201</v>
      </c>
      <c r="Y8" s="13">
        <v>0</v>
      </c>
      <c r="Z8" s="15">
        <v>0</v>
      </c>
      <c r="AA8" s="15">
        <v>0</v>
      </c>
      <c r="AB8" s="16">
        <v>1</v>
      </c>
      <c r="AC8" s="20">
        <v>0.99680000000000002</v>
      </c>
      <c r="AD8" s="20">
        <v>3.7100000000000001E-2</v>
      </c>
      <c r="AE8" s="18" t="s">
        <v>19</v>
      </c>
      <c r="AF8" s="11">
        <f t="shared" si="0"/>
        <v>0</v>
      </c>
    </row>
    <row r="9" spans="1:32" ht="15.5">
      <c r="A9">
        <v>7</v>
      </c>
      <c r="B9">
        <v>8</v>
      </c>
      <c r="C9" s="25">
        <v>2</v>
      </c>
      <c r="D9" s="11">
        <v>2016</v>
      </c>
      <c r="E9" s="11">
        <v>8.9800000000000005E-2</v>
      </c>
      <c r="F9" s="12">
        <v>0.31709999999999999</v>
      </c>
      <c r="G9" s="11">
        <v>0.92749999999999999</v>
      </c>
      <c r="H9" s="11">
        <v>0.75139999999999996</v>
      </c>
      <c r="I9" s="16">
        <v>6.0650000000000003E-2</v>
      </c>
      <c r="J9" s="11">
        <v>0.23799999999999999</v>
      </c>
      <c r="K9" s="11">
        <v>2E-3</v>
      </c>
      <c r="L9" s="11">
        <f t="shared" si="1"/>
        <v>0.41974537450175492</v>
      </c>
      <c r="M9" s="16">
        <v>2</v>
      </c>
      <c r="N9" s="16">
        <v>2</v>
      </c>
      <c r="O9" s="16">
        <v>2</v>
      </c>
      <c r="P9" s="16">
        <v>2</v>
      </c>
      <c r="Q9" s="16">
        <v>2</v>
      </c>
      <c r="R9" s="16">
        <v>2</v>
      </c>
      <c r="S9" s="16">
        <v>2</v>
      </c>
      <c r="T9" s="16">
        <v>2</v>
      </c>
      <c r="U9" s="16">
        <v>2</v>
      </c>
      <c r="V9" s="16">
        <v>2</v>
      </c>
      <c r="W9" s="16">
        <v>2</v>
      </c>
      <c r="X9" s="19">
        <v>0.67346938775510201</v>
      </c>
      <c r="Y9" s="13">
        <v>0</v>
      </c>
      <c r="Z9" s="15">
        <v>0</v>
      </c>
      <c r="AA9" s="15">
        <v>0</v>
      </c>
      <c r="AB9" s="16">
        <v>1</v>
      </c>
      <c r="AC9" s="20">
        <v>0.99780000000000002</v>
      </c>
      <c r="AD9" s="20">
        <v>8.5199999999999998E-2</v>
      </c>
      <c r="AE9" s="18" t="s">
        <v>20</v>
      </c>
      <c r="AF9" s="11">
        <f t="shared" si="0"/>
        <v>0</v>
      </c>
    </row>
    <row r="10" spans="1:32" ht="15.5">
      <c r="A10">
        <v>8</v>
      </c>
      <c r="B10">
        <v>9</v>
      </c>
      <c r="C10" s="25">
        <v>2</v>
      </c>
      <c r="D10" s="11">
        <v>2017</v>
      </c>
      <c r="E10" s="11">
        <v>0.112</v>
      </c>
      <c r="F10" s="12">
        <v>0.36499999999999999</v>
      </c>
      <c r="G10" s="11">
        <v>0.92500000000000004</v>
      </c>
      <c r="H10" s="11">
        <v>0.71230000000000004</v>
      </c>
      <c r="I10" s="16">
        <v>8.8539999999999994E-2</v>
      </c>
      <c r="J10" s="11">
        <v>0.28899999999999998</v>
      </c>
      <c r="K10" s="11">
        <v>1E-3</v>
      </c>
      <c r="L10" s="11">
        <f t="shared" si="1"/>
        <v>0.52160166025758392</v>
      </c>
      <c r="M10" s="16">
        <v>2</v>
      </c>
      <c r="N10" s="16">
        <v>2</v>
      </c>
      <c r="O10" s="16">
        <v>2</v>
      </c>
      <c r="P10" s="16">
        <v>2</v>
      </c>
      <c r="Q10" s="16">
        <v>2</v>
      </c>
      <c r="R10" s="16">
        <v>2</v>
      </c>
      <c r="S10" s="16">
        <v>2</v>
      </c>
      <c r="T10" s="16">
        <v>2</v>
      </c>
      <c r="U10" s="16">
        <v>2</v>
      </c>
      <c r="V10" s="16">
        <v>2</v>
      </c>
      <c r="W10" s="16">
        <v>2</v>
      </c>
      <c r="X10" s="19">
        <v>0.69387755102040816</v>
      </c>
      <c r="Y10" s="13">
        <v>0</v>
      </c>
      <c r="Z10" s="15">
        <v>1</v>
      </c>
      <c r="AA10" s="15">
        <v>1</v>
      </c>
      <c r="AB10" s="16">
        <v>1</v>
      </c>
      <c r="AC10" s="20">
        <v>0.99739999999999995</v>
      </c>
      <c r="AD10" s="20">
        <v>0.13089999999999999</v>
      </c>
      <c r="AE10" s="18" t="s">
        <v>21</v>
      </c>
      <c r="AF10" s="11">
        <f t="shared" si="0"/>
        <v>0</v>
      </c>
    </row>
    <row r="11" spans="1:32" ht="15.5">
      <c r="A11">
        <v>9</v>
      </c>
      <c r="B11">
        <v>10</v>
      </c>
      <c r="C11" s="25">
        <v>2</v>
      </c>
      <c r="D11" s="11">
        <v>2018</v>
      </c>
      <c r="E11" s="11">
        <v>0.124</v>
      </c>
      <c r="F11" s="12">
        <v>0.308</v>
      </c>
      <c r="G11" s="11">
        <v>0.95599999999999996</v>
      </c>
      <c r="H11" s="11">
        <v>0.624</v>
      </c>
      <c r="I11" s="16">
        <v>5.0340000000000003E-2</v>
      </c>
      <c r="J11" s="11">
        <v>0.40899999999999997</v>
      </c>
      <c r="K11" s="11">
        <v>2.0000000000000001E-4</v>
      </c>
      <c r="L11" s="11">
        <f t="shared" si="1"/>
        <v>0.56406783951398554</v>
      </c>
      <c r="M11" s="16">
        <v>2</v>
      </c>
      <c r="N11" s="16">
        <v>2</v>
      </c>
      <c r="O11" s="16">
        <v>2</v>
      </c>
      <c r="P11" s="16">
        <v>2</v>
      </c>
      <c r="Q11" s="16">
        <v>2</v>
      </c>
      <c r="R11" s="16">
        <v>2</v>
      </c>
      <c r="S11" s="16">
        <v>2</v>
      </c>
      <c r="T11" s="16">
        <v>2</v>
      </c>
      <c r="U11" s="16">
        <v>2</v>
      </c>
      <c r="V11" s="16">
        <v>2</v>
      </c>
      <c r="W11" s="16">
        <v>2</v>
      </c>
      <c r="X11" s="19">
        <v>0.69387755102040816</v>
      </c>
      <c r="Y11" s="13">
        <v>0</v>
      </c>
      <c r="Z11" s="15">
        <v>0</v>
      </c>
      <c r="AA11" s="15">
        <v>0</v>
      </c>
      <c r="AB11" s="16">
        <v>1</v>
      </c>
      <c r="AC11" s="20">
        <v>0.99619999999999997</v>
      </c>
      <c r="AD11" s="20">
        <v>0.44579999999999997</v>
      </c>
      <c r="AE11" s="18" t="s">
        <v>22</v>
      </c>
      <c r="AF11" s="11">
        <f t="shared" si="0"/>
        <v>0</v>
      </c>
    </row>
    <row r="12" spans="1:32" ht="15.5">
      <c r="A12">
        <v>10</v>
      </c>
      <c r="B12">
        <v>11</v>
      </c>
      <c r="C12" s="25">
        <v>2</v>
      </c>
      <c r="D12" s="11">
        <v>2019</v>
      </c>
      <c r="E12" s="11">
        <v>0.1358</v>
      </c>
      <c r="F12" s="11">
        <v>2.5999999999999999E-3</v>
      </c>
      <c r="G12" s="11">
        <v>0.95269999999999999</v>
      </c>
      <c r="H12" s="11">
        <v>0.58069999999999999</v>
      </c>
      <c r="I12" s="11">
        <v>1.017E-2</v>
      </c>
      <c r="J12" s="11">
        <v>0.44569999999999999</v>
      </c>
      <c r="K12" s="11">
        <v>2.5999999999999999E-3</v>
      </c>
      <c r="L12" s="11">
        <f t="shared" si="1"/>
        <v>0.38689453125000001</v>
      </c>
      <c r="M12" s="13">
        <v>2</v>
      </c>
      <c r="N12" s="13">
        <v>2</v>
      </c>
      <c r="O12" s="13">
        <v>2</v>
      </c>
      <c r="P12" s="13">
        <v>2</v>
      </c>
      <c r="Q12" s="13">
        <v>2</v>
      </c>
      <c r="R12" s="13">
        <v>2</v>
      </c>
      <c r="S12" s="13">
        <v>2</v>
      </c>
      <c r="T12" s="13">
        <v>2</v>
      </c>
      <c r="U12" s="13">
        <v>2</v>
      </c>
      <c r="V12" s="13">
        <v>2</v>
      </c>
      <c r="W12" s="13">
        <v>2</v>
      </c>
      <c r="X12" s="19">
        <v>0.7142857142857143</v>
      </c>
      <c r="Y12" s="13">
        <v>0</v>
      </c>
      <c r="Z12" s="15">
        <v>0</v>
      </c>
      <c r="AA12" s="15">
        <v>0</v>
      </c>
      <c r="AB12" s="16">
        <v>1</v>
      </c>
      <c r="AC12" s="20">
        <v>0.99570000000000003</v>
      </c>
      <c r="AD12" s="20">
        <v>0.4728</v>
      </c>
      <c r="AE12" s="18" t="s">
        <v>23</v>
      </c>
      <c r="AF12" s="11">
        <f t="shared" si="0"/>
        <v>0</v>
      </c>
    </row>
    <row r="13" spans="1:32" ht="15.5">
      <c r="A13">
        <v>11</v>
      </c>
      <c r="B13">
        <v>12</v>
      </c>
      <c r="C13" s="25">
        <v>2</v>
      </c>
      <c r="D13" s="11">
        <v>2020</v>
      </c>
      <c r="E13" s="11">
        <v>7.1599999999999997E-2</v>
      </c>
      <c r="F13" s="11">
        <v>0</v>
      </c>
      <c r="G13" s="11">
        <v>0.97370000000000001</v>
      </c>
      <c r="H13" s="11">
        <v>0.72419999999999995</v>
      </c>
      <c r="I13" s="11">
        <v>0</v>
      </c>
      <c r="J13" s="11">
        <v>0.49440000000000001</v>
      </c>
      <c r="K13" s="11">
        <v>2.0000000000000001E-4</v>
      </c>
      <c r="L13" s="11">
        <f t="shared" si="1"/>
        <v>0.33331370355102768</v>
      </c>
      <c r="M13" s="13">
        <v>2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0.7142857142857143</v>
      </c>
      <c r="Y13" s="13">
        <v>0</v>
      </c>
      <c r="Z13" s="23">
        <v>0</v>
      </c>
      <c r="AA13" s="23">
        <v>0</v>
      </c>
      <c r="AB13" s="13">
        <v>0</v>
      </c>
      <c r="AC13" s="22">
        <v>0</v>
      </c>
      <c r="AD13" s="22">
        <v>0</v>
      </c>
      <c r="AE13" s="26">
        <v>0</v>
      </c>
      <c r="AF13" s="11">
        <f t="shared" si="0"/>
        <v>0</v>
      </c>
    </row>
    <row r="14" spans="1:32" ht="15.5">
      <c r="A14">
        <v>12</v>
      </c>
      <c r="B14">
        <v>13</v>
      </c>
      <c r="C14" s="25">
        <v>3</v>
      </c>
      <c r="D14" s="11">
        <v>2003</v>
      </c>
      <c r="E14" s="11">
        <v>1.04E-2</v>
      </c>
      <c r="F14" s="11">
        <v>3.61E-2</v>
      </c>
      <c r="G14" s="27">
        <v>0</v>
      </c>
      <c r="H14" s="27">
        <v>0</v>
      </c>
      <c r="I14" s="27">
        <v>0</v>
      </c>
      <c r="J14" s="11">
        <v>0.2087</v>
      </c>
      <c r="K14" s="27">
        <v>0</v>
      </c>
      <c r="L14" s="11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8">
        <v>0</v>
      </c>
      <c r="Y14" s="28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6">
        <v>0</v>
      </c>
      <c r="AF14" s="11">
        <f t="shared" si="0"/>
        <v>0</v>
      </c>
    </row>
    <row r="15" spans="1:32" ht="15.5">
      <c r="A15">
        <v>13</v>
      </c>
      <c r="B15">
        <v>14</v>
      </c>
      <c r="C15" s="25">
        <v>3</v>
      </c>
      <c r="D15" s="11">
        <v>2004</v>
      </c>
      <c r="E15" s="11">
        <v>2.86E-2</v>
      </c>
      <c r="F15" s="11">
        <v>0.22800000000000001</v>
      </c>
      <c r="G15" s="27">
        <v>0</v>
      </c>
      <c r="H15" s="27">
        <v>0</v>
      </c>
      <c r="I15" s="27">
        <v>0</v>
      </c>
      <c r="J15" s="11">
        <v>0.1057</v>
      </c>
      <c r="K15" s="27">
        <v>0</v>
      </c>
      <c r="L15" s="11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8">
        <v>0</v>
      </c>
      <c r="Y15" s="28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6">
        <v>0</v>
      </c>
      <c r="AF15" s="11">
        <f t="shared" si="0"/>
        <v>0</v>
      </c>
    </row>
    <row r="16" spans="1:32" ht="15.5">
      <c r="A16">
        <v>14</v>
      </c>
      <c r="B16">
        <v>15</v>
      </c>
      <c r="C16" s="25">
        <v>3</v>
      </c>
      <c r="D16" s="11">
        <v>2005</v>
      </c>
      <c r="E16" s="11">
        <v>1.83E-2</v>
      </c>
      <c r="F16" s="11">
        <v>0.14560000000000001</v>
      </c>
      <c r="G16" s="27">
        <v>0</v>
      </c>
      <c r="H16" s="27">
        <v>0</v>
      </c>
      <c r="I16" s="27">
        <v>0</v>
      </c>
      <c r="J16" s="11">
        <v>0.1188</v>
      </c>
      <c r="K16" s="27">
        <v>0</v>
      </c>
      <c r="L16" s="11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8">
        <v>0</v>
      </c>
      <c r="Y16" s="28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6">
        <v>0</v>
      </c>
      <c r="AF16" s="11">
        <f t="shared" si="0"/>
        <v>0</v>
      </c>
    </row>
    <row r="17" spans="1:32" ht="15.5">
      <c r="A17">
        <v>15</v>
      </c>
      <c r="B17">
        <v>16</v>
      </c>
      <c r="C17" s="25">
        <v>3</v>
      </c>
      <c r="D17" s="11">
        <v>2006</v>
      </c>
      <c r="E17" s="11">
        <v>1.0999999999999999E-2</v>
      </c>
      <c r="F17" s="11">
        <v>0.1023</v>
      </c>
      <c r="G17" s="27">
        <v>0</v>
      </c>
      <c r="H17" s="27">
        <v>0</v>
      </c>
      <c r="I17" s="27">
        <v>0</v>
      </c>
      <c r="J17" s="11">
        <v>0.12559999999999999</v>
      </c>
      <c r="K17" s="27">
        <v>0</v>
      </c>
      <c r="L17" s="11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8">
        <v>0</v>
      </c>
      <c r="Y17" s="28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6">
        <v>0</v>
      </c>
      <c r="AF17" s="11">
        <f t="shared" si="0"/>
        <v>0</v>
      </c>
    </row>
    <row r="18" spans="1:32" ht="15.5">
      <c r="A18">
        <v>16</v>
      </c>
      <c r="B18">
        <v>17</v>
      </c>
      <c r="C18" s="25">
        <v>3</v>
      </c>
      <c r="D18" s="11">
        <v>2007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11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8">
        <v>0</v>
      </c>
      <c r="Y18" s="28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6">
        <v>0</v>
      </c>
      <c r="AF18" s="11">
        <f t="shared" si="0"/>
        <v>0</v>
      </c>
    </row>
    <row r="19" spans="1:32" ht="15.5">
      <c r="A19">
        <v>17</v>
      </c>
      <c r="B19">
        <v>18</v>
      </c>
      <c r="C19" s="25">
        <v>3</v>
      </c>
      <c r="D19" s="11">
        <v>2008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1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8">
        <v>0</v>
      </c>
      <c r="Y19" s="28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6">
        <v>0</v>
      </c>
      <c r="AF19" s="11">
        <f t="shared" si="0"/>
        <v>0</v>
      </c>
    </row>
    <row r="20" spans="1:32" ht="15.5">
      <c r="A20">
        <v>18</v>
      </c>
      <c r="B20">
        <v>19</v>
      </c>
      <c r="C20" s="25">
        <v>3</v>
      </c>
      <c r="D20" s="11">
        <v>2009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11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9">
        <v>0.26450000000000001</v>
      </c>
      <c r="Y20" s="28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6">
        <v>0</v>
      </c>
      <c r="AF20" s="11">
        <f t="shared" si="0"/>
        <v>0</v>
      </c>
    </row>
    <row r="21" spans="1:32" ht="15.5">
      <c r="A21">
        <v>19</v>
      </c>
      <c r="B21">
        <v>20</v>
      </c>
      <c r="C21" s="25">
        <v>3</v>
      </c>
      <c r="D21" s="11">
        <v>2010</v>
      </c>
      <c r="E21" s="11">
        <v>2.2100000000000002E-2</v>
      </c>
      <c r="F21" s="11">
        <v>0.63580000000000003</v>
      </c>
      <c r="G21" s="11">
        <v>0.82540000000000002</v>
      </c>
      <c r="H21" s="30">
        <v>0.67220000000000002</v>
      </c>
      <c r="I21" s="11">
        <v>6.5699999999999995E-2</v>
      </c>
      <c r="J21" s="11">
        <v>0.106</v>
      </c>
      <c r="K21" s="11">
        <v>1.29E-2</v>
      </c>
      <c r="L21" s="11">
        <f t="shared" si="1"/>
        <v>0.54922211188348236</v>
      </c>
      <c r="M21" s="31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3">
        <v>0</v>
      </c>
      <c r="X21" s="29">
        <v>0.25619999999999998</v>
      </c>
      <c r="Y21" s="34">
        <v>14582880510</v>
      </c>
      <c r="Z21" s="23">
        <v>1</v>
      </c>
      <c r="AA21" s="23">
        <v>1</v>
      </c>
      <c r="AB21" s="17">
        <v>1</v>
      </c>
      <c r="AC21" s="20">
        <v>0.99990000000000001</v>
      </c>
      <c r="AD21" s="13">
        <v>0.96079999999999999</v>
      </c>
      <c r="AE21" s="18" t="s">
        <v>24</v>
      </c>
      <c r="AF21" s="11">
        <f t="shared" si="0"/>
        <v>0</v>
      </c>
    </row>
    <row r="22" spans="1:32" ht="15.5">
      <c r="A22">
        <v>20</v>
      </c>
      <c r="B22">
        <v>21</v>
      </c>
      <c r="C22" s="25">
        <v>3</v>
      </c>
      <c r="D22" s="11">
        <v>2011</v>
      </c>
      <c r="E22" s="11">
        <v>1.95E-2</v>
      </c>
      <c r="F22" s="11">
        <v>0.64839999999999998</v>
      </c>
      <c r="G22" s="11">
        <v>0.86029999999999995</v>
      </c>
      <c r="H22" s="30">
        <v>0.6643</v>
      </c>
      <c r="I22" s="11">
        <v>7.4800000000000005E-2</v>
      </c>
      <c r="J22" s="11">
        <v>0.1457</v>
      </c>
      <c r="K22" s="11">
        <v>9.4999999999999998E-3</v>
      </c>
      <c r="L22" s="11">
        <f t="shared" si="1"/>
        <v>0.57910175347109039</v>
      </c>
      <c r="M22" s="35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7">
        <v>0</v>
      </c>
      <c r="X22" s="29">
        <v>0.2727</v>
      </c>
      <c r="Y22" s="38">
        <v>19177801129</v>
      </c>
      <c r="Z22" s="39">
        <v>1</v>
      </c>
      <c r="AA22" s="39">
        <v>1</v>
      </c>
      <c r="AB22" s="17">
        <v>1</v>
      </c>
      <c r="AC22" s="20">
        <v>0.99970000000000003</v>
      </c>
      <c r="AD22" s="13">
        <v>0.13370000000000001</v>
      </c>
      <c r="AE22" s="18" t="s">
        <v>25</v>
      </c>
      <c r="AF22" s="11">
        <f t="shared" si="0"/>
        <v>0</v>
      </c>
    </row>
    <row r="23" spans="1:32" ht="15.5">
      <c r="A23">
        <v>21</v>
      </c>
      <c r="B23">
        <v>22</v>
      </c>
      <c r="C23" s="25">
        <v>3</v>
      </c>
      <c r="D23" s="11">
        <v>2012</v>
      </c>
      <c r="E23" s="61">
        <v>2.2499999999999999E-2</v>
      </c>
      <c r="F23" s="11">
        <v>0.2505</v>
      </c>
      <c r="G23" s="61">
        <v>0.94399999999999995</v>
      </c>
      <c r="H23" s="61">
        <v>0.73299999999999998</v>
      </c>
      <c r="I23" s="11">
        <v>1.14E-2</v>
      </c>
      <c r="J23" s="61">
        <v>0.13880000000000001</v>
      </c>
      <c r="K23" s="61">
        <v>0.08</v>
      </c>
      <c r="L23" s="11">
        <f>(E23+F23+I23+J23)/(G23+H23+K23)</f>
        <v>0.2408651109846329</v>
      </c>
      <c r="M23" s="13">
        <v>3</v>
      </c>
      <c r="N23" s="13">
        <v>3</v>
      </c>
      <c r="O23" s="13">
        <v>2.35</v>
      </c>
      <c r="P23" s="13">
        <v>2.35</v>
      </c>
      <c r="Q23" s="13">
        <v>2.35</v>
      </c>
      <c r="R23" s="13">
        <v>2.35</v>
      </c>
      <c r="S23" s="13">
        <v>2.35</v>
      </c>
      <c r="T23" s="13">
        <v>2.35</v>
      </c>
      <c r="U23" s="13">
        <v>1</v>
      </c>
      <c r="V23" s="13">
        <v>1</v>
      </c>
      <c r="W23" s="13">
        <v>2</v>
      </c>
      <c r="X23" s="29">
        <v>0.58299999999999996</v>
      </c>
      <c r="Y23" s="29">
        <v>28131606226</v>
      </c>
      <c r="Z23" s="23">
        <v>1</v>
      </c>
      <c r="AA23" s="23">
        <v>1</v>
      </c>
      <c r="AB23" s="13">
        <v>1</v>
      </c>
      <c r="AC23" s="20">
        <v>0.99829999999999997</v>
      </c>
      <c r="AD23" s="13">
        <v>0.12939999999999999</v>
      </c>
      <c r="AE23" s="40">
        <v>1.4378629999999999</v>
      </c>
      <c r="AF23" s="11">
        <f t="shared" si="0"/>
        <v>0</v>
      </c>
    </row>
    <row r="24" spans="1:32" ht="15.5">
      <c r="A24">
        <v>22</v>
      </c>
      <c r="B24">
        <v>23</v>
      </c>
      <c r="C24" s="25">
        <v>3</v>
      </c>
      <c r="D24" s="11">
        <v>2013</v>
      </c>
      <c r="E24" s="11">
        <v>1.5299999999999999E-2</v>
      </c>
      <c r="F24" s="11">
        <v>0.15340000000000001</v>
      </c>
      <c r="G24" s="11">
        <v>0.89370000000000005</v>
      </c>
      <c r="H24" s="11">
        <v>0.84019999999999995</v>
      </c>
      <c r="I24" s="11">
        <v>2.29E-2</v>
      </c>
      <c r="J24" s="11">
        <v>0.14099999999999999</v>
      </c>
      <c r="K24" s="11">
        <v>4.3200000000000002E-2</v>
      </c>
      <c r="L24" s="11">
        <f t="shared" si="1"/>
        <v>0.18715885431320692</v>
      </c>
      <c r="M24" s="13">
        <v>1.85</v>
      </c>
      <c r="N24" s="13">
        <v>1.85</v>
      </c>
      <c r="O24" s="13">
        <v>1.85</v>
      </c>
      <c r="P24" s="13">
        <v>1.85</v>
      </c>
      <c r="Q24" s="13">
        <v>1.85</v>
      </c>
      <c r="R24" s="13">
        <v>3</v>
      </c>
      <c r="S24" s="13">
        <v>1.85</v>
      </c>
      <c r="T24" s="13">
        <v>1.85</v>
      </c>
      <c r="U24" s="13">
        <v>1</v>
      </c>
      <c r="V24" s="13">
        <v>1</v>
      </c>
      <c r="W24" s="13">
        <v>1</v>
      </c>
      <c r="X24" s="29">
        <v>0.625</v>
      </c>
      <c r="Y24" s="29">
        <v>22662472354</v>
      </c>
      <c r="Z24" s="23">
        <v>1</v>
      </c>
      <c r="AA24" s="23">
        <v>1</v>
      </c>
      <c r="AB24" s="13">
        <v>1</v>
      </c>
      <c r="AC24" s="20">
        <v>0.99990000000000001</v>
      </c>
      <c r="AD24" s="13">
        <v>0.21971955000000001</v>
      </c>
      <c r="AE24" s="40">
        <v>1.1589069999999999</v>
      </c>
      <c r="AF24" s="11">
        <f t="shared" si="0"/>
        <v>0</v>
      </c>
    </row>
    <row r="25" spans="1:32" ht="15.5">
      <c r="A25">
        <v>23</v>
      </c>
      <c r="B25">
        <v>24</v>
      </c>
      <c r="C25" s="25">
        <v>3</v>
      </c>
      <c r="D25" s="11">
        <v>2014</v>
      </c>
      <c r="E25" s="11">
        <v>1.6999999999999999E-3</v>
      </c>
      <c r="F25" s="12">
        <v>1.49E-2</v>
      </c>
      <c r="G25" s="11">
        <v>0.82130000000000003</v>
      </c>
      <c r="H25" s="11">
        <v>1.006</v>
      </c>
      <c r="I25" s="12">
        <v>4.2900000000000001E-2</v>
      </c>
      <c r="J25" s="11">
        <v>0.14119999999999999</v>
      </c>
      <c r="K25" s="11">
        <v>6.8400000000000002E-2</v>
      </c>
      <c r="L25" s="11">
        <f t="shared" si="1"/>
        <v>0.10587118214907421</v>
      </c>
      <c r="M25" s="16">
        <v>2</v>
      </c>
      <c r="N25" s="16">
        <v>2</v>
      </c>
      <c r="O25" s="16">
        <v>2</v>
      </c>
      <c r="P25" s="16">
        <v>2</v>
      </c>
      <c r="Q25" s="16">
        <v>2</v>
      </c>
      <c r="R25" s="16">
        <v>2</v>
      </c>
      <c r="S25" s="16">
        <v>2</v>
      </c>
      <c r="T25" s="16">
        <v>2</v>
      </c>
      <c r="U25" s="16">
        <v>2</v>
      </c>
      <c r="V25" s="16">
        <v>2</v>
      </c>
      <c r="W25" s="16">
        <v>2</v>
      </c>
      <c r="X25" s="29">
        <v>0.64600000000000002</v>
      </c>
      <c r="Y25" s="29">
        <v>2815220867</v>
      </c>
      <c r="Z25" s="23">
        <v>1</v>
      </c>
      <c r="AA25" s="23">
        <v>1</v>
      </c>
      <c r="AB25" s="13">
        <v>1</v>
      </c>
      <c r="AC25" s="14">
        <v>0.99870000000000003</v>
      </c>
      <c r="AD25" s="14">
        <v>0.26599145000000002</v>
      </c>
      <c r="AE25" s="18">
        <v>0.32743</v>
      </c>
      <c r="AF25" s="11">
        <f t="shared" si="0"/>
        <v>0</v>
      </c>
    </row>
    <row r="26" spans="1:32" ht="15.5">
      <c r="A26">
        <v>24</v>
      </c>
      <c r="B26">
        <v>25</v>
      </c>
      <c r="C26" s="10">
        <v>3</v>
      </c>
      <c r="D26" s="11">
        <v>2015</v>
      </c>
      <c r="E26" s="11">
        <v>5.5999999999999999E-3</v>
      </c>
      <c r="F26" s="12">
        <v>5.9200000000000003E-2</v>
      </c>
      <c r="G26" s="11">
        <v>0.81989999999999996</v>
      </c>
      <c r="H26" s="11">
        <v>0.94779999999999998</v>
      </c>
      <c r="I26" s="12">
        <v>6.5299999999999997E-2</v>
      </c>
      <c r="J26" s="11">
        <v>0.1285</v>
      </c>
      <c r="K26" s="11">
        <v>6.0600000000000001E-2</v>
      </c>
      <c r="L26" s="11">
        <f t="shared" si="1"/>
        <v>0.14144287042607886</v>
      </c>
      <c r="M26" s="16">
        <v>2</v>
      </c>
      <c r="N26" s="16">
        <v>2</v>
      </c>
      <c r="O26" s="16">
        <v>2</v>
      </c>
      <c r="P26" s="16">
        <v>2</v>
      </c>
      <c r="Q26" s="16">
        <v>2</v>
      </c>
      <c r="R26" s="16">
        <v>2</v>
      </c>
      <c r="S26" s="16">
        <v>2</v>
      </c>
      <c r="T26" s="16">
        <v>2</v>
      </c>
      <c r="U26" s="16">
        <v>2</v>
      </c>
      <c r="V26" s="16">
        <v>2</v>
      </c>
      <c r="W26" s="16">
        <v>2</v>
      </c>
      <c r="X26" s="29">
        <v>0.75</v>
      </c>
      <c r="Y26" s="29">
        <v>9592982099</v>
      </c>
      <c r="Z26" s="23">
        <v>1</v>
      </c>
      <c r="AA26" s="23">
        <v>1</v>
      </c>
      <c r="AB26" s="13">
        <v>1</v>
      </c>
      <c r="AC26" s="14">
        <v>0.99980000000000002</v>
      </c>
      <c r="AD26" s="14">
        <v>0.28899999999999998</v>
      </c>
      <c r="AE26" s="18">
        <v>0.13791</v>
      </c>
      <c r="AF26" s="11">
        <f t="shared" si="0"/>
        <v>0</v>
      </c>
    </row>
    <row r="27" spans="1:32" ht="15.5">
      <c r="A27">
        <v>25</v>
      </c>
      <c r="B27">
        <v>26</v>
      </c>
      <c r="C27" s="10">
        <v>3</v>
      </c>
      <c r="D27" s="11">
        <v>2016</v>
      </c>
      <c r="E27" s="11">
        <v>5.8999999999999999E-3</v>
      </c>
      <c r="F27" s="12">
        <v>5.8099999999999999E-2</v>
      </c>
      <c r="G27" s="11">
        <v>0.79190000000000005</v>
      </c>
      <c r="H27" s="11">
        <v>0.94120000000000004</v>
      </c>
      <c r="I27" s="12">
        <v>6.1600000000000002E-2</v>
      </c>
      <c r="J27" s="11">
        <v>0.1401</v>
      </c>
      <c r="K27" s="11">
        <v>4.9200000000000001E-2</v>
      </c>
      <c r="L27" s="11">
        <f t="shared" si="1"/>
        <v>0.14907703529147731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41" t="s">
        <v>26</v>
      </c>
      <c r="Y27" s="29">
        <v>11146263639</v>
      </c>
      <c r="Z27" s="23">
        <v>1</v>
      </c>
      <c r="AA27" s="23">
        <v>1</v>
      </c>
      <c r="AB27" s="13">
        <v>1</v>
      </c>
      <c r="AC27" s="14">
        <v>0.99990000000000001</v>
      </c>
      <c r="AD27" s="14">
        <v>0.31241000000000002</v>
      </c>
      <c r="AE27" s="18">
        <v>0.13191</v>
      </c>
      <c r="AF27" s="11">
        <f t="shared" si="0"/>
        <v>0</v>
      </c>
    </row>
    <row r="28" spans="1:32" ht="15.5">
      <c r="A28">
        <v>26</v>
      </c>
      <c r="B28">
        <v>27</v>
      </c>
      <c r="C28" s="10">
        <v>3</v>
      </c>
      <c r="D28" s="11">
        <v>2017</v>
      </c>
      <c r="E28" s="11">
        <v>5.8999999999999999E-3</v>
      </c>
      <c r="F28" s="12">
        <v>5.7200000000000001E-2</v>
      </c>
      <c r="G28" s="11">
        <v>0.77659999999999996</v>
      </c>
      <c r="H28" s="11">
        <v>0.94440000000000002</v>
      </c>
      <c r="I28" s="12">
        <v>7.3499999999999996E-2</v>
      </c>
      <c r="J28" s="11">
        <v>0.15890000000000001</v>
      </c>
      <c r="K28" s="11">
        <v>4.8500000000000001E-2</v>
      </c>
      <c r="L28" s="11">
        <f t="shared" si="1"/>
        <v>0.16699632664594516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41" t="s">
        <v>27</v>
      </c>
      <c r="Y28" s="29">
        <v>12489000000</v>
      </c>
      <c r="Z28" s="23">
        <v>1</v>
      </c>
      <c r="AA28" s="23">
        <v>1</v>
      </c>
      <c r="AB28" s="13">
        <v>1</v>
      </c>
      <c r="AC28" s="14">
        <v>0.99990000000000001</v>
      </c>
      <c r="AD28" s="14">
        <v>0.34</v>
      </c>
      <c r="AE28" s="18">
        <v>0.14940999999999999</v>
      </c>
      <c r="AF28" s="11">
        <f t="shared" si="0"/>
        <v>0</v>
      </c>
    </row>
    <row r="29" spans="1:32" ht="15.5">
      <c r="A29">
        <v>27</v>
      </c>
      <c r="B29">
        <v>28</v>
      </c>
      <c r="C29" s="10">
        <v>3</v>
      </c>
      <c r="D29" s="11">
        <v>2018</v>
      </c>
      <c r="E29" s="11">
        <v>8.8000000000000005E-3</v>
      </c>
      <c r="F29" s="12">
        <v>8.2100000000000006E-2</v>
      </c>
      <c r="G29" s="11">
        <v>0.77249999999999996</v>
      </c>
      <c r="H29" s="11">
        <v>0.90680000000000005</v>
      </c>
      <c r="I29" s="12">
        <v>6.5600000000000006E-2</v>
      </c>
      <c r="J29" s="11">
        <v>0.16259999999999999</v>
      </c>
      <c r="K29" s="11">
        <v>1.5599999999999999E-2</v>
      </c>
      <c r="L29" s="11">
        <f t="shared" si="1"/>
        <v>0.18827069443624994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41" t="s">
        <v>28</v>
      </c>
      <c r="Y29" s="29">
        <v>20916000000</v>
      </c>
      <c r="Z29" s="23">
        <v>1</v>
      </c>
      <c r="AA29" s="23">
        <v>1</v>
      </c>
      <c r="AB29" s="13">
        <v>1</v>
      </c>
      <c r="AC29" s="14">
        <v>0.99990000000000001</v>
      </c>
      <c r="AD29" s="14">
        <v>0.35199999999999998</v>
      </c>
      <c r="AE29" s="18">
        <v>0.19889000000000001</v>
      </c>
      <c r="AF29" s="11">
        <f t="shared" si="0"/>
        <v>0</v>
      </c>
    </row>
    <row r="30" spans="1:32" ht="15.5">
      <c r="A30">
        <v>28</v>
      </c>
      <c r="B30">
        <v>29</v>
      </c>
      <c r="C30" s="10">
        <v>3</v>
      </c>
      <c r="D30" s="11">
        <v>2019</v>
      </c>
      <c r="E30" s="11">
        <v>1.6899999999999998E-2</v>
      </c>
      <c r="F30" s="12">
        <v>0.15659999999999999</v>
      </c>
      <c r="G30" s="11">
        <v>0.75539999999999996</v>
      </c>
      <c r="H30" s="11">
        <v>0.82889999999999997</v>
      </c>
      <c r="I30" s="12">
        <v>6.3600000000000004E-2</v>
      </c>
      <c r="J30" s="11">
        <v>0.1615</v>
      </c>
      <c r="K30" s="11">
        <v>0.01</v>
      </c>
      <c r="L30" s="11">
        <f t="shared" si="1"/>
        <v>0.25001568086307469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41" t="s">
        <v>29</v>
      </c>
      <c r="Y30" s="29">
        <v>43974000000</v>
      </c>
      <c r="Z30" s="23">
        <v>1</v>
      </c>
      <c r="AA30" s="23">
        <v>1</v>
      </c>
      <c r="AB30" s="13">
        <v>1</v>
      </c>
      <c r="AC30" s="14">
        <v>0.99990000000000001</v>
      </c>
      <c r="AD30" s="14">
        <v>0.36599999999999999</v>
      </c>
      <c r="AE30" s="42">
        <v>0.33517599999999997</v>
      </c>
      <c r="AF30" s="11">
        <f t="shared" si="0"/>
        <v>0</v>
      </c>
    </row>
    <row r="31" spans="1:32" ht="15.5">
      <c r="A31">
        <v>29</v>
      </c>
      <c r="B31">
        <v>30</v>
      </c>
      <c r="C31" s="10">
        <v>3</v>
      </c>
      <c r="D31" s="11">
        <v>2020</v>
      </c>
      <c r="E31" s="11">
        <v>1.6500000000000001E-2</v>
      </c>
      <c r="F31" s="11">
        <v>0</v>
      </c>
      <c r="G31" s="11">
        <v>0.73980000000000001</v>
      </c>
      <c r="H31" s="11">
        <v>0.81810000000000005</v>
      </c>
      <c r="I31" s="11">
        <v>0</v>
      </c>
      <c r="J31" s="11">
        <v>0.16880000000000001</v>
      </c>
      <c r="K31" s="11">
        <v>7.1999999999999998E-3</v>
      </c>
      <c r="L31" s="11">
        <f t="shared" si="1"/>
        <v>0.11839499073541628</v>
      </c>
      <c r="M31" s="13">
        <v>1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29">
        <v>0.875</v>
      </c>
      <c r="Y31" s="13">
        <v>0</v>
      </c>
      <c r="Z31" s="23">
        <v>0</v>
      </c>
      <c r="AA31" s="23">
        <v>0</v>
      </c>
      <c r="AB31" s="13">
        <v>0</v>
      </c>
      <c r="AC31" s="13">
        <v>0</v>
      </c>
      <c r="AD31" s="13">
        <v>0</v>
      </c>
      <c r="AE31" s="43">
        <v>0</v>
      </c>
      <c r="AF31" s="11">
        <f t="shared" si="0"/>
        <v>0</v>
      </c>
    </row>
    <row r="32" spans="1:32" ht="15.5">
      <c r="A32">
        <v>30</v>
      </c>
      <c r="B32">
        <v>31</v>
      </c>
      <c r="C32" s="10">
        <v>4</v>
      </c>
      <c r="D32" s="19">
        <v>1998</v>
      </c>
      <c r="E32" s="62">
        <v>0.2394</v>
      </c>
      <c r="F32" s="62">
        <v>0.23350000000000001</v>
      </c>
      <c r="G32" s="62">
        <v>1.0714999999999999</v>
      </c>
      <c r="H32" s="22">
        <v>0</v>
      </c>
      <c r="I32" s="22">
        <v>0</v>
      </c>
      <c r="J32" s="62">
        <v>6.7599999999999993E-2</v>
      </c>
      <c r="K32" s="62">
        <v>0.65610000000000002</v>
      </c>
      <c r="L32" s="11">
        <f t="shared" si="1"/>
        <v>0.31286177355869416</v>
      </c>
      <c r="M32" s="22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45">
        <v>0</v>
      </c>
      <c r="AF32" s="11">
        <f t="shared" si="0"/>
        <v>0</v>
      </c>
    </row>
    <row r="33" spans="1:32" ht="15.5">
      <c r="A33">
        <v>31</v>
      </c>
      <c r="B33">
        <v>32</v>
      </c>
      <c r="C33" s="10">
        <v>4</v>
      </c>
      <c r="D33" s="19">
        <v>1999</v>
      </c>
      <c r="E33" s="62">
        <v>5.7999999999999996E-3</v>
      </c>
      <c r="F33" s="20">
        <v>9.2999999999999992E-3</v>
      </c>
      <c r="G33" s="62">
        <v>0.68069999999999997</v>
      </c>
      <c r="H33" s="22">
        <v>0</v>
      </c>
      <c r="I33" s="22">
        <v>0</v>
      </c>
      <c r="J33" s="62">
        <v>0.15290000000000001</v>
      </c>
      <c r="K33" s="62">
        <v>0.5333</v>
      </c>
      <c r="L33" s="11">
        <f t="shared" si="1"/>
        <v>0.13838550247116971</v>
      </c>
      <c r="M33" s="22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45">
        <v>0</v>
      </c>
      <c r="AF33" s="11">
        <f t="shared" si="0"/>
        <v>0</v>
      </c>
    </row>
    <row r="34" spans="1:32" ht="15.5">
      <c r="A34">
        <v>32</v>
      </c>
      <c r="B34">
        <v>33</v>
      </c>
      <c r="C34" s="10">
        <v>4</v>
      </c>
      <c r="D34" s="19">
        <v>2000</v>
      </c>
      <c r="E34" s="62">
        <v>9.5999999999999992E-3</v>
      </c>
      <c r="F34" s="20">
        <v>1.1299999999999999E-2</v>
      </c>
      <c r="G34" s="62">
        <v>0.97899999999999998</v>
      </c>
      <c r="H34" s="22">
        <v>0</v>
      </c>
      <c r="I34" s="22">
        <v>0</v>
      </c>
      <c r="J34" s="62">
        <v>8.9499999999999996E-2</v>
      </c>
      <c r="K34" s="62">
        <v>0.12839999999999999</v>
      </c>
      <c r="L34" s="11">
        <f t="shared" si="1"/>
        <v>9.9692974534946729E-2</v>
      </c>
      <c r="M34" s="22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45">
        <v>0</v>
      </c>
      <c r="AF34" s="11">
        <f t="shared" ref="AF34:AF65" si="2">IF(L34&gt;1,1,0)</f>
        <v>0</v>
      </c>
    </row>
    <row r="35" spans="1:32" ht="15.5">
      <c r="A35">
        <v>33</v>
      </c>
      <c r="B35">
        <v>34</v>
      </c>
      <c r="C35" s="10">
        <v>4</v>
      </c>
      <c r="D35" s="19">
        <v>2001</v>
      </c>
      <c r="E35" s="62">
        <v>4.0099999999999997E-2</v>
      </c>
      <c r="F35" s="20">
        <v>4.4600000000000001E-2</v>
      </c>
      <c r="G35" s="62">
        <v>0.9</v>
      </c>
      <c r="H35" s="22">
        <v>0</v>
      </c>
      <c r="I35" s="22">
        <v>0</v>
      </c>
      <c r="J35" s="62">
        <v>9.0200000000000002E-2</v>
      </c>
      <c r="K35" s="62">
        <v>4.3200000000000002E-2</v>
      </c>
      <c r="L35" s="11">
        <f t="shared" si="1"/>
        <v>0.18543256997455471</v>
      </c>
      <c r="M35" s="22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45">
        <v>0</v>
      </c>
      <c r="AF35" s="11">
        <f t="shared" si="2"/>
        <v>0</v>
      </c>
    </row>
    <row r="36" spans="1:32" ht="15.5">
      <c r="A36">
        <v>34</v>
      </c>
      <c r="B36">
        <v>35</v>
      </c>
      <c r="C36" s="10">
        <v>4</v>
      </c>
      <c r="D36" s="19">
        <v>2002</v>
      </c>
      <c r="E36" s="62">
        <v>2.01E-2</v>
      </c>
      <c r="F36" s="20">
        <v>1.5699999999999999E-2</v>
      </c>
      <c r="G36" s="62">
        <v>0.8367</v>
      </c>
      <c r="H36" s="22">
        <v>0</v>
      </c>
      <c r="I36" s="22">
        <v>0</v>
      </c>
      <c r="J36" s="62">
        <v>0.1055</v>
      </c>
      <c r="K36" s="62">
        <v>3.4299999999999997E-2</v>
      </c>
      <c r="L36" s="11">
        <f t="shared" si="1"/>
        <v>0.16222732491389205</v>
      </c>
      <c r="M36" s="22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45">
        <v>0</v>
      </c>
      <c r="AF36" s="11">
        <f t="shared" si="2"/>
        <v>0</v>
      </c>
    </row>
    <row r="37" spans="1:32" ht="15.5">
      <c r="A37">
        <v>35</v>
      </c>
      <c r="B37">
        <v>36</v>
      </c>
      <c r="C37" s="10">
        <v>4</v>
      </c>
      <c r="D37" s="19">
        <v>2003</v>
      </c>
      <c r="E37" s="62">
        <v>1.3299999999999999E-2</v>
      </c>
      <c r="F37" s="20">
        <v>9.4999999999999998E-3</v>
      </c>
      <c r="G37" s="62">
        <v>0.76970000000000005</v>
      </c>
      <c r="H37" s="13">
        <v>0.80879999999999996</v>
      </c>
      <c r="I37" s="22">
        <v>0</v>
      </c>
      <c r="J37" s="62">
        <v>0.13039999999999999</v>
      </c>
      <c r="K37" s="62">
        <v>2.12E-2</v>
      </c>
      <c r="L37" s="11">
        <f t="shared" si="1"/>
        <v>9.5767956491842221E-2</v>
      </c>
      <c r="M37" s="22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45">
        <v>0</v>
      </c>
      <c r="AF37" s="11">
        <f t="shared" si="2"/>
        <v>0</v>
      </c>
    </row>
    <row r="38" spans="1:32" ht="15.5">
      <c r="A38">
        <v>36</v>
      </c>
      <c r="B38">
        <v>37</v>
      </c>
      <c r="C38" s="10">
        <v>4</v>
      </c>
      <c r="D38" s="19">
        <v>2004</v>
      </c>
      <c r="E38" s="62">
        <v>1.7999999999999999E-2</v>
      </c>
      <c r="F38" s="20">
        <v>1.9400000000000001E-2</v>
      </c>
      <c r="G38" s="62">
        <v>0.86029999999999995</v>
      </c>
      <c r="H38" s="13">
        <v>0.75560000000000005</v>
      </c>
      <c r="I38" s="22">
        <v>0</v>
      </c>
      <c r="J38" s="62">
        <v>0.1217</v>
      </c>
      <c r="K38" s="62">
        <v>2.1899999999999999E-2</v>
      </c>
      <c r="L38" s="11">
        <f t="shared" si="1"/>
        <v>9.71425082427647E-2</v>
      </c>
      <c r="M38" s="22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45">
        <v>0</v>
      </c>
      <c r="AF38" s="11">
        <f t="shared" si="2"/>
        <v>0</v>
      </c>
    </row>
    <row r="39" spans="1:32" ht="15.5">
      <c r="A39">
        <v>37</v>
      </c>
      <c r="B39">
        <v>38</v>
      </c>
      <c r="C39" s="10">
        <v>4</v>
      </c>
      <c r="D39" s="19">
        <v>2005</v>
      </c>
      <c r="E39" s="62">
        <v>2.53E-2</v>
      </c>
      <c r="F39" s="20">
        <v>2.29E-2</v>
      </c>
      <c r="G39" s="62">
        <v>0.89080000000000004</v>
      </c>
      <c r="H39" s="13">
        <v>0.74609999999999999</v>
      </c>
      <c r="I39" s="45">
        <v>0</v>
      </c>
      <c r="J39" s="62">
        <v>0.1633</v>
      </c>
      <c r="K39" s="62">
        <v>0.02</v>
      </c>
      <c r="L39" s="11">
        <f t="shared" si="1"/>
        <v>0.12764801738185769</v>
      </c>
      <c r="M39" s="22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45">
        <v>0</v>
      </c>
      <c r="AF39" s="11">
        <f t="shared" si="2"/>
        <v>0</v>
      </c>
    </row>
    <row r="40" spans="1:32" ht="15.5">
      <c r="A40">
        <v>38</v>
      </c>
      <c r="B40">
        <v>39</v>
      </c>
      <c r="C40" s="10">
        <v>4</v>
      </c>
      <c r="D40" s="19">
        <v>2006</v>
      </c>
      <c r="E40" s="62">
        <v>2.1000000000000001E-2</v>
      </c>
      <c r="F40" s="20">
        <v>2.2700000000000001E-2</v>
      </c>
      <c r="G40" s="62">
        <v>0.83599999999999997</v>
      </c>
      <c r="H40" s="20">
        <v>0.84960000000000002</v>
      </c>
      <c r="I40" s="20">
        <v>6.0999999999999999E-2</v>
      </c>
      <c r="J40" s="62">
        <v>0.14230000000000001</v>
      </c>
      <c r="K40" s="62">
        <v>4.48E-2</v>
      </c>
      <c r="L40" s="11">
        <f t="shared" si="1"/>
        <v>0.14274156264447527</v>
      </c>
      <c r="M40" s="22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45">
        <v>0</v>
      </c>
      <c r="AF40" s="11">
        <f t="shared" si="2"/>
        <v>0</v>
      </c>
    </row>
    <row r="41" spans="1:32" ht="15.5">
      <c r="A41">
        <v>39</v>
      </c>
      <c r="B41">
        <v>40</v>
      </c>
      <c r="C41" s="10">
        <v>4</v>
      </c>
      <c r="D41" s="19">
        <v>2007</v>
      </c>
      <c r="E41" s="62">
        <v>2.2700000000000001E-2</v>
      </c>
      <c r="F41" s="20">
        <v>2.4400000000000002E-2</v>
      </c>
      <c r="G41" s="62">
        <v>0.99160000000000004</v>
      </c>
      <c r="H41" s="20">
        <v>0.83379999999999999</v>
      </c>
      <c r="I41" s="20">
        <v>7.6100000000000001E-2</v>
      </c>
      <c r="J41" s="62">
        <v>0.1069</v>
      </c>
      <c r="K41" s="62">
        <v>1.3299999999999999E-2</v>
      </c>
      <c r="L41" s="11">
        <f t="shared" si="1"/>
        <v>0.12514276390928372</v>
      </c>
      <c r="M41" s="13">
        <v>1</v>
      </c>
      <c r="N41" s="13">
        <v>1</v>
      </c>
      <c r="O41" s="13">
        <v>1</v>
      </c>
      <c r="P41" s="13">
        <v>2</v>
      </c>
      <c r="Q41" s="13">
        <v>2</v>
      </c>
      <c r="R41" s="13">
        <v>2</v>
      </c>
      <c r="S41" s="13">
        <v>2</v>
      </c>
      <c r="T41" s="13">
        <v>2</v>
      </c>
      <c r="U41" s="13">
        <v>2</v>
      </c>
      <c r="V41" s="13">
        <v>2</v>
      </c>
      <c r="W41" s="13">
        <v>2</v>
      </c>
      <c r="X41" s="44">
        <v>0</v>
      </c>
      <c r="Y41" s="20">
        <v>6745752000</v>
      </c>
      <c r="Z41" s="15">
        <v>1</v>
      </c>
      <c r="AA41" s="15">
        <v>1</v>
      </c>
      <c r="AB41" s="16">
        <v>1</v>
      </c>
      <c r="AC41" s="20">
        <v>0.99970000000000003</v>
      </c>
      <c r="AD41" s="46" t="s">
        <v>30</v>
      </c>
      <c r="AE41" s="18" t="s">
        <v>31</v>
      </c>
      <c r="AF41" s="11">
        <f t="shared" si="2"/>
        <v>0</v>
      </c>
    </row>
    <row r="42" spans="1:32" ht="15.5">
      <c r="A42">
        <v>40</v>
      </c>
      <c r="B42">
        <v>41</v>
      </c>
      <c r="C42" s="10">
        <v>4</v>
      </c>
      <c r="D42" s="19">
        <v>2008</v>
      </c>
      <c r="E42" s="62">
        <v>2.5999999999999999E-2</v>
      </c>
      <c r="F42" s="20">
        <v>2.7900000000000001E-2</v>
      </c>
      <c r="G42" s="62">
        <v>1.0441</v>
      </c>
      <c r="H42" s="20">
        <v>0.78939999999999999</v>
      </c>
      <c r="I42" s="20">
        <v>7.4200000000000002E-2</v>
      </c>
      <c r="J42" s="62">
        <v>0.10829999999999999</v>
      </c>
      <c r="K42" s="62">
        <v>3.85E-2</v>
      </c>
      <c r="L42" s="11">
        <f t="shared" si="1"/>
        <v>0.12628205128205128</v>
      </c>
      <c r="M42" s="13">
        <v>1</v>
      </c>
      <c r="N42" s="13">
        <v>1</v>
      </c>
      <c r="O42" s="13">
        <v>1</v>
      </c>
      <c r="P42" s="13">
        <v>2</v>
      </c>
      <c r="Q42" s="13">
        <v>2</v>
      </c>
      <c r="R42" s="13">
        <v>2</v>
      </c>
      <c r="S42" s="13">
        <v>2</v>
      </c>
      <c r="T42" s="13">
        <v>2</v>
      </c>
      <c r="U42" s="13">
        <v>2</v>
      </c>
      <c r="V42" s="13">
        <v>2</v>
      </c>
      <c r="W42" s="13">
        <v>2</v>
      </c>
      <c r="X42" s="44">
        <v>0</v>
      </c>
      <c r="Y42" s="13">
        <v>7379140000</v>
      </c>
      <c r="Z42" s="15">
        <v>1</v>
      </c>
      <c r="AA42" s="15">
        <v>1</v>
      </c>
      <c r="AB42" s="16">
        <v>1</v>
      </c>
      <c r="AC42" s="20">
        <v>0.89980000000000004</v>
      </c>
      <c r="AD42" s="47">
        <v>0.47739999999999999</v>
      </c>
      <c r="AE42" s="18" t="s">
        <v>32</v>
      </c>
      <c r="AF42" s="11">
        <f t="shared" si="2"/>
        <v>0</v>
      </c>
    </row>
    <row r="43" spans="1:32" ht="15.5">
      <c r="A43">
        <v>41</v>
      </c>
      <c r="B43">
        <v>42</v>
      </c>
      <c r="C43" s="10">
        <v>4</v>
      </c>
      <c r="D43" s="11">
        <v>2009</v>
      </c>
      <c r="E43" s="13">
        <v>3.131555270484265E-3</v>
      </c>
      <c r="F43" s="13">
        <v>8.0299999999999996E-2</v>
      </c>
      <c r="G43" s="13">
        <v>0.85819999999999996</v>
      </c>
      <c r="H43" s="20">
        <v>0.95499999999999996</v>
      </c>
      <c r="I43" s="20">
        <v>5.1499999999999997E-2</v>
      </c>
      <c r="J43" s="13">
        <v>0.111</v>
      </c>
      <c r="K43" s="13">
        <v>4.1000000000000002E-2</v>
      </c>
      <c r="L43" s="11">
        <f t="shared" si="1"/>
        <v>0.132634858845046</v>
      </c>
      <c r="M43" s="13">
        <v>1</v>
      </c>
      <c r="N43" s="19">
        <v>1</v>
      </c>
      <c r="O43" s="19">
        <v>2</v>
      </c>
      <c r="P43" s="19">
        <v>2</v>
      </c>
      <c r="Q43" s="19">
        <v>2</v>
      </c>
      <c r="R43" s="19">
        <v>2</v>
      </c>
      <c r="S43" s="19">
        <v>2</v>
      </c>
      <c r="T43" s="19">
        <v>2</v>
      </c>
      <c r="U43" s="19">
        <v>2</v>
      </c>
      <c r="V43" s="19">
        <v>2</v>
      </c>
      <c r="W43" s="19">
        <v>2</v>
      </c>
      <c r="X43" s="48">
        <v>0.26450000000000001</v>
      </c>
      <c r="Y43" s="13">
        <v>5341241000</v>
      </c>
      <c r="Z43" s="15">
        <v>1</v>
      </c>
      <c r="AA43" s="15">
        <v>1</v>
      </c>
      <c r="AB43" s="16">
        <v>1</v>
      </c>
      <c r="AC43" s="20">
        <v>0.86780000000000002</v>
      </c>
      <c r="AD43" s="47">
        <v>0.52510000000000001</v>
      </c>
      <c r="AE43" s="18" t="s">
        <v>33</v>
      </c>
      <c r="AF43" s="11">
        <f t="shared" si="2"/>
        <v>0</v>
      </c>
    </row>
    <row r="44" spans="1:32" ht="15.5">
      <c r="A44">
        <v>42</v>
      </c>
      <c r="B44">
        <v>43</v>
      </c>
      <c r="C44" s="10">
        <v>4</v>
      </c>
      <c r="D44" s="11">
        <v>2010</v>
      </c>
      <c r="E44" s="11">
        <v>1.3599999999999999E-2</v>
      </c>
      <c r="F44" s="13">
        <v>0.17780000000000001</v>
      </c>
      <c r="G44" s="13">
        <v>0.91520000000000001</v>
      </c>
      <c r="H44" s="13">
        <v>0.87380000000000002</v>
      </c>
      <c r="I44" s="13">
        <v>5.2400000000000002E-2</v>
      </c>
      <c r="J44" s="13">
        <v>0.1326</v>
      </c>
      <c r="K44" s="13">
        <v>3.5099999999999999E-2</v>
      </c>
      <c r="L44" s="11">
        <f t="shared" si="1"/>
        <v>0.20634833616578038</v>
      </c>
      <c r="M44" s="13">
        <v>1.4</v>
      </c>
      <c r="N44" s="13">
        <v>1.4</v>
      </c>
      <c r="O44" s="13">
        <v>2</v>
      </c>
      <c r="P44" s="13">
        <v>1.4</v>
      </c>
      <c r="Q44" s="13">
        <v>1.4</v>
      </c>
      <c r="R44" s="13">
        <v>2</v>
      </c>
      <c r="S44" s="13">
        <v>1.4</v>
      </c>
      <c r="T44" s="13">
        <v>2</v>
      </c>
      <c r="U44" s="13">
        <v>1.4</v>
      </c>
      <c r="V44" s="13">
        <v>1.4</v>
      </c>
      <c r="W44" s="13">
        <v>2</v>
      </c>
      <c r="X44" s="48">
        <v>0.25619999999999998</v>
      </c>
      <c r="Y44" s="13">
        <v>4406260000</v>
      </c>
      <c r="Z44" s="15">
        <v>1</v>
      </c>
      <c r="AA44" s="15">
        <v>1</v>
      </c>
      <c r="AB44" s="16">
        <v>1</v>
      </c>
      <c r="AC44" s="20">
        <v>0.99990000000000001</v>
      </c>
      <c r="AD44" s="47">
        <v>0.47189999999999999</v>
      </c>
      <c r="AE44" s="18">
        <v>1.0543</v>
      </c>
      <c r="AF44" s="11">
        <f t="shared" si="2"/>
        <v>0</v>
      </c>
    </row>
    <row r="45" spans="1:32" ht="15.5">
      <c r="A45">
        <v>43</v>
      </c>
      <c r="B45">
        <v>44</v>
      </c>
      <c r="C45" s="10">
        <v>4</v>
      </c>
      <c r="D45" s="11">
        <v>2011</v>
      </c>
      <c r="E45" s="11">
        <v>1.52E-2</v>
      </c>
      <c r="F45" s="13">
        <v>0.14710000000000001</v>
      </c>
      <c r="G45" s="13">
        <v>0.8518</v>
      </c>
      <c r="H45" s="13">
        <v>0.85250000000000004</v>
      </c>
      <c r="I45" s="17">
        <v>5.0099999999999999E-2</v>
      </c>
      <c r="J45" s="13">
        <v>0.1201</v>
      </c>
      <c r="K45" s="13">
        <v>1.78E-2</v>
      </c>
      <c r="L45" s="11">
        <f t="shared" si="1"/>
        <v>0.19307821845421289</v>
      </c>
      <c r="M45" s="13">
        <v>1.3</v>
      </c>
      <c r="N45" s="13">
        <v>1.3</v>
      </c>
      <c r="O45" s="13">
        <v>2</v>
      </c>
      <c r="P45" s="13">
        <v>1.3</v>
      </c>
      <c r="Q45" s="13">
        <v>1.3</v>
      </c>
      <c r="R45" s="13">
        <v>2</v>
      </c>
      <c r="S45" s="13">
        <v>1.3</v>
      </c>
      <c r="T45" s="13">
        <v>2</v>
      </c>
      <c r="U45" s="13">
        <v>1.3</v>
      </c>
      <c r="V45" s="13">
        <v>1.3</v>
      </c>
      <c r="W45" s="13">
        <v>2</v>
      </c>
      <c r="X45" s="48">
        <v>0.25619999999999998</v>
      </c>
      <c r="Y45" s="13">
        <v>11566365477</v>
      </c>
      <c r="Z45" s="15">
        <v>1</v>
      </c>
      <c r="AA45" s="15">
        <v>1</v>
      </c>
      <c r="AB45" s="16">
        <v>1</v>
      </c>
      <c r="AC45" s="20">
        <v>0.99980000000000002</v>
      </c>
      <c r="AD45" s="47">
        <v>0.10680000000000001</v>
      </c>
      <c r="AE45" s="18">
        <v>1.1843999999999999</v>
      </c>
      <c r="AF45" s="11">
        <f t="shared" si="2"/>
        <v>0</v>
      </c>
    </row>
    <row r="46" spans="1:32" ht="15.5">
      <c r="A46">
        <v>44</v>
      </c>
      <c r="B46">
        <v>45</v>
      </c>
      <c r="C46" s="10">
        <v>4</v>
      </c>
      <c r="D46" s="11">
        <v>2012</v>
      </c>
      <c r="E46" s="11">
        <v>1.54E-2</v>
      </c>
      <c r="F46" s="13">
        <v>3.4200000000000001E-2</v>
      </c>
      <c r="G46" s="13">
        <v>0.9415</v>
      </c>
      <c r="H46" s="13">
        <v>0.9738</v>
      </c>
      <c r="I46" s="17">
        <v>4.6399999999999997E-2</v>
      </c>
      <c r="J46" s="13">
        <v>0.1157</v>
      </c>
      <c r="K46" s="13">
        <v>1.8100000000000002E-2</v>
      </c>
      <c r="L46" s="11">
        <f t="shared" si="1"/>
        <v>0.10949622426812869</v>
      </c>
      <c r="M46" s="13">
        <v>1.1499999999999999</v>
      </c>
      <c r="N46" s="13">
        <v>1.1499999999999999</v>
      </c>
      <c r="O46" s="13">
        <v>2</v>
      </c>
      <c r="P46" s="13">
        <v>1.1499999999999999</v>
      </c>
      <c r="Q46" s="13">
        <v>1.1499999999999999</v>
      </c>
      <c r="R46" s="13">
        <v>2</v>
      </c>
      <c r="S46" s="13">
        <v>1.1499999999999999</v>
      </c>
      <c r="T46" s="13">
        <v>2</v>
      </c>
      <c r="U46" s="13">
        <v>1.1499999999999999</v>
      </c>
      <c r="V46" s="13">
        <v>1.1499999999999999</v>
      </c>
      <c r="W46" s="13">
        <v>1</v>
      </c>
      <c r="X46" s="29">
        <v>0.64600000000000002</v>
      </c>
      <c r="Y46" s="29">
        <v>6840540000</v>
      </c>
      <c r="Z46" s="15">
        <v>1</v>
      </c>
      <c r="AA46" s="15">
        <v>1</v>
      </c>
      <c r="AB46" s="16">
        <v>1</v>
      </c>
      <c r="AC46" s="20">
        <v>0.99970000000000003</v>
      </c>
      <c r="AD46" s="13">
        <v>0.45667901999999999</v>
      </c>
      <c r="AE46" s="18" t="s">
        <v>34</v>
      </c>
      <c r="AF46" s="11">
        <f t="shared" si="2"/>
        <v>0</v>
      </c>
    </row>
    <row r="47" spans="1:32" ht="15.5">
      <c r="A47">
        <v>45</v>
      </c>
      <c r="B47">
        <v>46</v>
      </c>
      <c r="C47" s="10">
        <v>4</v>
      </c>
      <c r="D47" s="11">
        <v>2013</v>
      </c>
      <c r="E47" s="11">
        <v>1.37E-2</v>
      </c>
      <c r="F47" s="11">
        <v>3.8699999999999998E-2</v>
      </c>
      <c r="G47" s="11">
        <v>0.99990000000000001</v>
      </c>
      <c r="H47" s="11">
        <v>0.93779999999999997</v>
      </c>
      <c r="I47" s="17">
        <v>4.6600000000000003E-2</v>
      </c>
      <c r="J47" s="11">
        <v>0.17269999999999999</v>
      </c>
      <c r="K47" s="11">
        <v>7.7999999999999996E-3</v>
      </c>
      <c r="L47" s="11">
        <f t="shared" si="1"/>
        <v>0.13965561552300179</v>
      </c>
      <c r="M47" s="13">
        <v>1</v>
      </c>
      <c r="N47" s="13">
        <v>1</v>
      </c>
      <c r="O47" s="13">
        <v>2</v>
      </c>
      <c r="P47" s="13">
        <v>1</v>
      </c>
      <c r="Q47" s="13">
        <v>1</v>
      </c>
      <c r="R47" s="13">
        <v>2</v>
      </c>
      <c r="S47" s="13">
        <v>1</v>
      </c>
      <c r="T47" s="13">
        <v>2</v>
      </c>
      <c r="U47" s="13">
        <v>1</v>
      </c>
      <c r="V47" s="13">
        <v>1</v>
      </c>
      <c r="W47" s="13">
        <v>1</v>
      </c>
      <c r="X47" s="29">
        <v>0.60526000000000002</v>
      </c>
      <c r="Y47" s="29">
        <v>13183796000</v>
      </c>
      <c r="Z47" s="15">
        <v>1</v>
      </c>
      <c r="AA47" s="15">
        <v>1</v>
      </c>
      <c r="AB47" s="16">
        <v>1</v>
      </c>
      <c r="AC47" s="20">
        <v>0.99409999999999998</v>
      </c>
      <c r="AD47" s="13">
        <v>0.53424090000000002</v>
      </c>
      <c r="AE47" s="18" t="s">
        <v>35</v>
      </c>
      <c r="AF47" s="11">
        <f t="shared" si="2"/>
        <v>0</v>
      </c>
    </row>
    <row r="48" spans="1:32" ht="15.5">
      <c r="A48">
        <v>46</v>
      </c>
      <c r="B48">
        <v>47</v>
      </c>
      <c r="C48" s="10">
        <v>4</v>
      </c>
      <c r="D48" s="11">
        <v>2014</v>
      </c>
      <c r="E48" s="11">
        <v>1.6999999999999999E-3</v>
      </c>
      <c r="F48" s="12">
        <v>2.1999999999999999E-2</v>
      </c>
      <c r="G48" s="11">
        <v>0.84140000000000004</v>
      </c>
      <c r="H48" s="11">
        <v>0.9738</v>
      </c>
      <c r="I48" s="17">
        <v>3.4000000000000002E-2</v>
      </c>
      <c r="J48" s="11">
        <v>0.1191</v>
      </c>
      <c r="K48" s="11">
        <v>4.8500000000000001E-2</v>
      </c>
      <c r="L48" s="11">
        <f t="shared" si="1"/>
        <v>9.4865053388420897E-2</v>
      </c>
      <c r="M48" s="13">
        <v>3</v>
      </c>
      <c r="N48" s="16">
        <v>3</v>
      </c>
      <c r="O48" s="16">
        <v>3</v>
      </c>
      <c r="P48" s="16">
        <v>3</v>
      </c>
      <c r="Q48" s="16">
        <v>3</v>
      </c>
      <c r="R48" s="16">
        <v>3</v>
      </c>
      <c r="S48" s="16">
        <v>3</v>
      </c>
      <c r="T48" s="16">
        <v>3</v>
      </c>
      <c r="U48" s="16">
        <v>3</v>
      </c>
      <c r="V48" s="16">
        <v>3</v>
      </c>
      <c r="W48" s="16">
        <v>3</v>
      </c>
      <c r="X48" s="29">
        <v>0.65788999999999997</v>
      </c>
      <c r="Y48" s="29">
        <v>22723000000</v>
      </c>
      <c r="Z48" s="15">
        <v>1</v>
      </c>
      <c r="AA48" s="15">
        <v>1</v>
      </c>
      <c r="AB48" s="16">
        <v>1</v>
      </c>
      <c r="AC48" s="49">
        <v>0.99839999999999995</v>
      </c>
      <c r="AD48" s="14">
        <v>5.1206500000000002E-2</v>
      </c>
      <c r="AE48" s="18">
        <v>1.1100000000000001E-3</v>
      </c>
      <c r="AF48" s="11">
        <f t="shared" si="2"/>
        <v>0</v>
      </c>
    </row>
    <row r="49" spans="1:32" ht="15.5">
      <c r="A49">
        <v>47</v>
      </c>
      <c r="B49">
        <v>48</v>
      </c>
      <c r="C49" s="10">
        <v>4</v>
      </c>
      <c r="D49" s="11">
        <v>2015</v>
      </c>
      <c r="E49" s="11">
        <v>2E-3</v>
      </c>
      <c r="F49" s="12">
        <v>2.7799999999999998E-2</v>
      </c>
      <c r="G49" s="11">
        <v>0.90300000000000002</v>
      </c>
      <c r="H49" s="11">
        <v>0.97409999999999997</v>
      </c>
      <c r="I49" s="12">
        <v>4.0899999999999999E-2</v>
      </c>
      <c r="J49" s="11">
        <v>0.1236</v>
      </c>
      <c r="K49" s="11">
        <v>7.1099999999999997E-2</v>
      </c>
      <c r="L49" s="11">
        <f t="shared" si="1"/>
        <v>9.973308695205832E-2</v>
      </c>
      <c r="M49" s="13">
        <v>3</v>
      </c>
      <c r="N49" s="16">
        <v>3</v>
      </c>
      <c r="O49" s="16">
        <v>3</v>
      </c>
      <c r="P49" s="16">
        <v>3</v>
      </c>
      <c r="Q49" s="16">
        <v>3</v>
      </c>
      <c r="R49" s="16">
        <v>3</v>
      </c>
      <c r="S49" s="16">
        <v>3</v>
      </c>
      <c r="T49" s="16">
        <v>3</v>
      </c>
      <c r="U49" s="16">
        <v>3</v>
      </c>
      <c r="V49" s="16">
        <v>3</v>
      </c>
      <c r="W49" s="16">
        <v>3</v>
      </c>
      <c r="X49" s="29">
        <v>0.64500000000000002</v>
      </c>
      <c r="Y49" s="29">
        <v>12533000000</v>
      </c>
      <c r="Z49" s="15">
        <v>1</v>
      </c>
      <c r="AA49" s="15">
        <v>1</v>
      </c>
      <c r="AB49" s="16">
        <v>1</v>
      </c>
      <c r="AC49" s="14">
        <v>0.98570000000000002</v>
      </c>
      <c r="AD49" s="14">
        <v>0.54390854</v>
      </c>
      <c r="AE49" s="18">
        <v>2.4109999999999999E-2</v>
      </c>
      <c r="AF49" s="11">
        <f t="shared" si="2"/>
        <v>0</v>
      </c>
    </row>
    <row r="50" spans="1:32" ht="15.5">
      <c r="A50">
        <v>48</v>
      </c>
      <c r="B50">
        <v>49</v>
      </c>
      <c r="C50" s="25">
        <v>4</v>
      </c>
      <c r="D50" s="11">
        <v>2016</v>
      </c>
      <c r="E50" s="11">
        <v>2.2000000000000001E-3</v>
      </c>
      <c r="F50" s="12">
        <v>0.03</v>
      </c>
      <c r="G50" s="11">
        <v>0.95130000000000003</v>
      </c>
      <c r="H50" s="11">
        <v>0.97760000000000002</v>
      </c>
      <c r="I50" s="12">
        <v>3.2099999999999997E-2</v>
      </c>
      <c r="J50" s="11">
        <v>0.12740000000000001</v>
      </c>
      <c r="K50" s="11">
        <v>3.8300000000000001E-2</v>
      </c>
      <c r="L50" s="11">
        <f t="shared" si="1"/>
        <v>9.7448149654331032E-2</v>
      </c>
      <c r="M50" s="13">
        <v>2</v>
      </c>
      <c r="N50" s="16">
        <v>2</v>
      </c>
      <c r="O50" s="16">
        <v>2</v>
      </c>
      <c r="P50" s="16">
        <v>2</v>
      </c>
      <c r="Q50" s="16">
        <v>2</v>
      </c>
      <c r="R50" s="16">
        <v>2</v>
      </c>
      <c r="S50" s="16">
        <v>2</v>
      </c>
      <c r="T50" s="16">
        <v>2</v>
      </c>
      <c r="U50" s="16">
        <v>2</v>
      </c>
      <c r="V50" s="16">
        <v>2</v>
      </c>
      <c r="W50" s="16">
        <v>2</v>
      </c>
      <c r="X50" s="41" t="s">
        <v>28</v>
      </c>
      <c r="Y50" s="29">
        <v>13252000000</v>
      </c>
      <c r="Z50" s="15">
        <v>1</v>
      </c>
      <c r="AA50" s="15">
        <v>1</v>
      </c>
      <c r="AB50" s="16">
        <v>1</v>
      </c>
      <c r="AC50" s="14">
        <v>0.99960000000000004</v>
      </c>
      <c r="AD50" s="14">
        <v>0.54200000000000004</v>
      </c>
      <c r="AE50" s="18">
        <v>9.1179999999999997E-2</v>
      </c>
      <c r="AF50" s="11">
        <f t="shared" si="2"/>
        <v>0</v>
      </c>
    </row>
    <row r="51" spans="1:32" ht="15.5">
      <c r="A51">
        <v>49</v>
      </c>
      <c r="B51">
        <v>50</v>
      </c>
      <c r="C51" s="25">
        <v>4</v>
      </c>
      <c r="D51" s="11">
        <v>2017</v>
      </c>
      <c r="E51" s="11">
        <v>1.1000000000000001E-3</v>
      </c>
      <c r="F51" s="12">
        <v>8.6999999999999994E-3</v>
      </c>
      <c r="G51" s="11">
        <v>0.84409999999999996</v>
      </c>
      <c r="H51" s="11">
        <v>0.9768</v>
      </c>
      <c r="I51" s="12">
        <v>2.4799999999999999E-2</v>
      </c>
      <c r="J51" s="11">
        <v>0.13619999999999999</v>
      </c>
      <c r="K51" s="11">
        <v>4.9500000000000002E-2</v>
      </c>
      <c r="L51" s="11">
        <f t="shared" si="1"/>
        <v>9.1317365269461062E-2</v>
      </c>
      <c r="M51" s="13">
        <v>3</v>
      </c>
      <c r="N51" s="16">
        <v>3</v>
      </c>
      <c r="O51" s="16">
        <v>3</v>
      </c>
      <c r="P51" s="16">
        <v>3</v>
      </c>
      <c r="Q51" s="16">
        <v>3</v>
      </c>
      <c r="R51" s="16">
        <v>3</v>
      </c>
      <c r="S51" s="16">
        <v>3</v>
      </c>
      <c r="T51" s="16">
        <v>3</v>
      </c>
      <c r="U51" s="16">
        <v>3</v>
      </c>
      <c r="V51" s="16">
        <v>3</v>
      </c>
      <c r="W51" s="16">
        <v>3</v>
      </c>
      <c r="X51" s="41" t="s">
        <v>36</v>
      </c>
      <c r="Y51" s="29">
        <v>15494000000</v>
      </c>
      <c r="Z51" s="15">
        <v>1</v>
      </c>
      <c r="AA51" s="15">
        <v>1</v>
      </c>
      <c r="AB51" s="16">
        <v>1</v>
      </c>
      <c r="AC51" s="14">
        <v>0.99970000000000003</v>
      </c>
      <c r="AD51" s="14">
        <v>0.498</v>
      </c>
      <c r="AE51" s="18">
        <v>8.8900000000000007E-2</v>
      </c>
      <c r="AF51" s="11">
        <f t="shared" si="2"/>
        <v>0</v>
      </c>
    </row>
    <row r="52" spans="1:32" ht="15.5">
      <c r="A52">
        <v>50</v>
      </c>
      <c r="B52">
        <v>51</v>
      </c>
      <c r="C52" s="25">
        <v>4</v>
      </c>
      <c r="D52" s="11">
        <v>2018</v>
      </c>
      <c r="E52" s="11">
        <v>8.0000000000000004E-4</v>
      </c>
      <c r="F52" s="12">
        <v>1.1599999999999999E-2</v>
      </c>
      <c r="G52" s="11">
        <v>0.73180000000000001</v>
      </c>
      <c r="H52" s="11">
        <v>0.98240000000000005</v>
      </c>
      <c r="I52" s="12">
        <v>2.2200000000000001E-2</v>
      </c>
      <c r="J52" s="11">
        <v>0.1234</v>
      </c>
      <c r="K52" s="11">
        <v>2.58E-2</v>
      </c>
      <c r="L52" s="11">
        <f t="shared" si="1"/>
        <v>9.0804597701149431E-2</v>
      </c>
      <c r="M52" s="13">
        <v>3</v>
      </c>
      <c r="N52" s="16">
        <v>3</v>
      </c>
      <c r="O52" s="16">
        <v>3</v>
      </c>
      <c r="P52" s="16">
        <v>3</v>
      </c>
      <c r="Q52" s="16">
        <v>3</v>
      </c>
      <c r="R52" s="16">
        <v>3</v>
      </c>
      <c r="S52" s="16">
        <v>3</v>
      </c>
      <c r="T52" s="16">
        <v>3</v>
      </c>
      <c r="U52" s="16">
        <v>3</v>
      </c>
      <c r="V52" s="16">
        <v>3</v>
      </c>
      <c r="W52" s="16">
        <v>3</v>
      </c>
      <c r="X52" s="41" t="s">
        <v>36</v>
      </c>
      <c r="Y52" s="29">
        <v>10586000000</v>
      </c>
      <c r="Z52" s="15">
        <v>1</v>
      </c>
      <c r="AA52" s="15">
        <v>1</v>
      </c>
      <c r="AB52" s="16">
        <v>1</v>
      </c>
      <c r="AC52" s="14">
        <v>0.99980000000000002</v>
      </c>
      <c r="AD52" s="14">
        <v>0.48499999999999999</v>
      </c>
      <c r="AE52" s="18">
        <v>0.11001</v>
      </c>
      <c r="AF52" s="11">
        <f t="shared" si="2"/>
        <v>0</v>
      </c>
    </row>
    <row r="53" spans="1:32" ht="15.5">
      <c r="A53">
        <v>51</v>
      </c>
      <c r="B53">
        <v>52</v>
      </c>
      <c r="C53" s="25">
        <v>4</v>
      </c>
      <c r="D53" s="11">
        <v>2019</v>
      </c>
      <c r="E53" s="11">
        <v>5.0000000000000001E-4</v>
      </c>
      <c r="F53" s="12">
        <v>4.4999999999999998E-2</v>
      </c>
      <c r="G53" s="11">
        <v>0.73509999999999998</v>
      </c>
      <c r="H53" s="11">
        <v>0.995</v>
      </c>
      <c r="I53" s="12">
        <v>8.3000000000000004E-2</v>
      </c>
      <c r="J53" s="11">
        <v>0.1242</v>
      </c>
      <c r="K53" s="11">
        <v>4.2999999999999997E-2</v>
      </c>
      <c r="L53" s="11">
        <f t="shared" si="1"/>
        <v>0.14251875246742995</v>
      </c>
      <c r="M53" s="13">
        <v>3</v>
      </c>
      <c r="N53" s="16">
        <v>3</v>
      </c>
      <c r="O53" s="16">
        <v>3</v>
      </c>
      <c r="P53" s="16">
        <v>3</v>
      </c>
      <c r="Q53" s="16">
        <v>3</v>
      </c>
      <c r="R53" s="16">
        <v>3</v>
      </c>
      <c r="S53" s="16">
        <v>3</v>
      </c>
      <c r="T53" s="16">
        <v>3</v>
      </c>
      <c r="U53" s="16">
        <v>3</v>
      </c>
      <c r="V53" s="16">
        <v>3</v>
      </c>
      <c r="W53" s="16">
        <v>3</v>
      </c>
      <c r="X53" s="41" t="s">
        <v>37</v>
      </c>
      <c r="Y53" s="29">
        <v>10868786000</v>
      </c>
      <c r="Z53" s="15">
        <v>1</v>
      </c>
      <c r="AA53" s="15">
        <v>1</v>
      </c>
      <c r="AB53" s="16">
        <v>1</v>
      </c>
      <c r="AC53" s="14">
        <v>0.99980000000000002</v>
      </c>
      <c r="AD53" s="14">
        <v>0.5</v>
      </c>
      <c r="AE53" s="42">
        <v>0.26962000000000003</v>
      </c>
      <c r="AF53" s="11">
        <f t="shared" si="2"/>
        <v>0</v>
      </c>
    </row>
    <row r="54" spans="1:32" ht="15.5">
      <c r="A54">
        <v>52</v>
      </c>
      <c r="B54">
        <v>53</v>
      </c>
      <c r="C54" s="25">
        <v>4</v>
      </c>
      <c r="D54" s="11">
        <v>2020</v>
      </c>
      <c r="E54" s="11">
        <v>2.9999999999999997E-4</v>
      </c>
      <c r="F54" s="11">
        <v>0</v>
      </c>
      <c r="G54" s="11">
        <v>0.69840000000000002</v>
      </c>
      <c r="H54" s="11">
        <v>0.99450000000000005</v>
      </c>
      <c r="I54" s="11">
        <v>0</v>
      </c>
      <c r="J54" s="11">
        <v>0.15210000000000001</v>
      </c>
      <c r="K54" s="11">
        <v>3.95E-2</v>
      </c>
      <c r="L54" s="11">
        <f t="shared" si="1"/>
        <v>8.7970445624567073E-2</v>
      </c>
      <c r="M54" s="13">
        <v>3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0.83673469387755106</v>
      </c>
      <c r="Y54" s="13">
        <v>0</v>
      </c>
      <c r="Z54" s="23">
        <v>0</v>
      </c>
      <c r="AA54" s="23">
        <v>0</v>
      </c>
      <c r="AB54" s="13">
        <v>0</v>
      </c>
      <c r="AC54" s="13">
        <v>0</v>
      </c>
      <c r="AD54" s="13">
        <v>0</v>
      </c>
      <c r="AE54" s="18">
        <v>0</v>
      </c>
      <c r="AF54" s="11">
        <f t="shared" si="2"/>
        <v>0</v>
      </c>
    </row>
    <row r="55" spans="1:32" ht="15.5">
      <c r="A55">
        <v>53</v>
      </c>
      <c r="B55">
        <v>54</v>
      </c>
      <c r="C55" s="25">
        <v>5</v>
      </c>
      <c r="D55" s="11">
        <v>2010</v>
      </c>
      <c r="E55" s="30">
        <v>6.1000000000000004E-3</v>
      </c>
      <c r="F55" s="30">
        <v>3.6499999999999998E-2</v>
      </c>
      <c r="G55" s="30">
        <v>0.68920000000000003</v>
      </c>
      <c r="H55" s="30">
        <v>0.88049999999999995</v>
      </c>
      <c r="I55" s="30">
        <v>8.7400000000000005E-2</v>
      </c>
      <c r="J55" s="30">
        <v>0.27679999999999999</v>
      </c>
      <c r="K55" s="30">
        <v>1.95E-2</v>
      </c>
      <c r="L55" s="11">
        <f t="shared" si="1"/>
        <v>0.25597785049081295</v>
      </c>
      <c r="M55" s="13">
        <v>1</v>
      </c>
      <c r="N55" s="13">
        <v>1.62</v>
      </c>
      <c r="O55" s="13">
        <v>1</v>
      </c>
      <c r="P55" s="13">
        <v>1</v>
      </c>
      <c r="Q55" s="13">
        <v>1.62</v>
      </c>
      <c r="R55" s="13">
        <v>1.62</v>
      </c>
      <c r="S55" s="13">
        <v>1.62</v>
      </c>
      <c r="T55" s="13">
        <v>1</v>
      </c>
      <c r="U55" s="13">
        <v>1.62</v>
      </c>
      <c r="V55" s="13">
        <v>1.62</v>
      </c>
      <c r="W55" s="13">
        <v>1.62</v>
      </c>
      <c r="X55" s="48">
        <v>0.53100000000000003</v>
      </c>
      <c r="Y55" s="20">
        <v>0</v>
      </c>
      <c r="Z55" s="23">
        <v>0</v>
      </c>
      <c r="AA55" s="23">
        <v>1</v>
      </c>
      <c r="AB55" s="13">
        <v>1</v>
      </c>
      <c r="AC55" s="20">
        <v>0.99990000000000001</v>
      </c>
      <c r="AD55" s="20">
        <v>4.9000000000000002E-2</v>
      </c>
      <c r="AE55" s="18" t="s">
        <v>38</v>
      </c>
      <c r="AF55" s="11">
        <f t="shared" si="2"/>
        <v>0</v>
      </c>
    </row>
    <row r="56" spans="1:32" ht="15.5">
      <c r="A56">
        <v>54</v>
      </c>
      <c r="B56">
        <v>55</v>
      </c>
      <c r="C56" s="25">
        <v>5</v>
      </c>
      <c r="D56" s="11">
        <v>2011</v>
      </c>
      <c r="E56" s="11">
        <v>1.29</v>
      </c>
      <c r="F56" s="11">
        <v>6.6299999999999998E-2</v>
      </c>
      <c r="G56" s="61">
        <v>0.78600000000000003</v>
      </c>
      <c r="H56" s="61">
        <v>0.87860000000000005</v>
      </c>
      <c r="I56" s="30">
        <v>8.0699999999999994E-2</v>
      </c>
      <c r="J56" s="11">
        <v>20.67</v>
      </c>
      <c r="K56" s="61">
        <v>2.4199999999999999E-2</v>
      </c>
      <c r="L56" s="11">
        <f t="shared" si="1"/>
        <v>13.090360018948367</v>
      </c>
      <c r="M56" s="13">
        <v>1</v>
      </c>
      <c r="N56" s="13">
        <v>1.67</v>
      </c>
      <c r="O56" s="13">
        <v>1</v>
      </c>
      <c r="P56" s="13">
        <v>1.67</v>
      </c>
      <c r="Q56" s="13">
        <v>1</v>
      </c>
      <c r="R56" s="13">
        <v>1.67</v>
      </c>
      <c r="S56" s="13">
        <v>1.67</v>
      </c>
      <c r="T56" s="13">
        <v>1.67</v>
      </c>
      <c r="U56" s="13">
        <v>1.67</v>
      </c>
      <c r="V56" s="13">
        <v>1.67</v>
      </c>
      <c r="W56" s="13">
        <v>1.67</v>
      </c>
      <c r="X56" s="48">
        <v>0.56599999999999995</v>
      </c>
      <c r="Y56" s="13">
        <v>56180000000</v>
      </c>
      <c r="Z56" s="23">
        <v>0</v>
      </c>
      <c r="AA56" s="23">
        <v>1</v>
      </c>
      <c r="AB56" s="13">
        <v>1</v>
      </c>
      <c r="AC56" s="20">
        <v>0.99990000000000001</v>
      </c>
      <c r="AD56" s="20">
        <v>8.2100000000000006E-2</v>
      </c>
      <c r="AE56" s="40">
        <v>1.309329</v>
      </c>
      <c r="AF56" s="11">
        <f t="shared" si="2"/>
        <v>1</v>
      </c>
    </row>
    <row r="57" spans="1:32" ht="15.5">
      <c r="A57">
        <v>55</v>
      </c>
      <c r="B57">
        <v>56</v>
      </c>
      <c r="C57" s="25">
        <v>5</v>
      </c>
      <c r="D57" s="11">
        <v>2012</v>
      </c>
      <c r="E57" s="11">
        <v>1.48</v>
      </c>
      <c r="F57" s="11">
        <v>0.1018</v>
      </c>
      <c r="G57" s="61">
        <v>0.84989999999999999</v>
      </c>
      <c r="H57" s="61">
        <v>0.85389999999999999</v>
      </c>
      <c r="I57" s="30">
        <v>7.3099999999999998E-2</v>
      </c>
      <c r="J57" s="11">
        <v>14.1</v>
      </c>
      <c r="K57" s="61">
        <v>1.4200000000000001E-2</v>
      </c>
      <c r="L57" s="11">
        <f t="shared" si="1"/>
        <v>9.170488940628637</v>
      </c>
      <c r="M57" s="13">
        <v>1.25</v>
      </c>
      <c r="N57" s="13">
        <v>1.25</v>
      </c>
      <c r="O57" s="13">
        <v>1.25</v>
      </c>
      <c r="P57" s="13">
        <v>2</v>
      </c>
      <c r="Q57" s="13">
        <v>2</v>
      </c>
      <c r="R57" s="13">
        <v>1.25</v>
      </c>
      <c r="S57" s="13">
        <v>2</v>
      </c>
      <c r="T57" s="13">
        <v>1.25</v>
      </c>
      <c r="U57" s="13">
        <v>2</v>
      </c>
      <c r="V57" s="13">
        <v>1.25</v>
      </c>
      <c r="W57" s="13">
        <v>1.25</v>
      </c>
      <c r="X57" s="29">
        <v>0.64600000000000002</v>
      </c>
      <c r="Y57" s="29">
        <v>45380000000</v>
      </c>
      <c r="Z57" s="23">
        <v>0</v>
      </c>
      <c r="AA57" s="23">
        <v>1</v>
      </c>
      <c r="AB57" s="13">
        <v>1</v>
      </c>
      <c r="AC57" s="20">
        <v>0.99990000000000001</v>
      </c>
      <c r="AD57" s="20">
        <v>0.16685161000000001</v>
      </c>
      <c r="AE57" s="40">
        <v>0.97814100000000004</v>
      </c>
      <c r="AF57" s="11">
        <f t="shared" si="2"/>
        <v>1</v>
      </c>
    </row>
    <row r="58" spans="1:32" ht="15.5">
      <c r="A58">
        <v>56</v>
      </c>
      <c r="B58">
        <v>57</v>
      </c>
      <c r="C58" s="25">
        <v>5</v>
      </c>
      <c r="D58" s="11">
        <v>2013</v>
      </c>
      <c r="E58" s="11">
        <v>1.37E-2</v>
      </c>
      <c r="F58" s="11">
        <v>0.1173</v>
      </c>
      <c r="G58" s="11">
        <v>0.97860000000000003</v>
      </c>
      <c r="H58" s="11">
        <v>0.83940000000000003</v>
      </c>
      <c r="I58" s="30">
        <v>9.5100000000000004E-2</v>
      </c>
      <c r="J58" s="11">
        <v>0.1623</v>
      </c>
      <c r="K58" s="11">
        <v>1.1299999999999999E-2</v>
      </c>
      <c r="L58" s="11">
        <f t="shared" si="1"/>
        <v>0.2123216530913464</v>
      </c>
      <c r="M58" s="13">
        <v>1</v>
      </c>
      <c r="N58" s="13">
        <v>1</v>
      </c>
      <c r="O58" s="13">
        <v>1</v>
      </c>
      <c r="P58" s="13">
        <v>2</v>
      </c>
      <c r="Q58" s="13">
        <v>2</v>
      </c>
      <c r="R58" s="13">
        <v>1</v>
      </c>
      <c r="S58" s="13">
        <v>1</v>
      </c>
      <c r="T58" s="13">
        <v>1</v>
      </c>
      <c r="U58" s="13">
        <v>1</v>
      </c>
      <c r="V58" s="13">
        <v>2</v>
      </c>
      <c r="W58" s="13">
        <v>1</v>
      </c>
      <c r="X58" s="29">
        <v>0.64500000000000002</v>
      </c>
      <c r="Y58" s="29">
        <v>77040000000</v>
      </c>
      <c r="Z58" s="23">
        <v>0</v>
      </c>
      <c r="AA58" s="23">
        <v>1</v>
      </c>
      <c r="AB58" s="13">
        <v>1</v>
      </c>
      <c r="AC58" s="20">
        <v>0.99990000000000001</v>
      </c>
      <c r="AD58" s="20">
        <v>0.16001130999999999</v>
      </c>
      <c r="AE58" s="40">
        <v>0.75153499999999995</v>
      </c>
      <c r="AF58" s="11">
        <f t="shared" si="2"/>
        <v>0</v>
      </c>
    </row>
    <row r="59" spans="1:32" ht="15.5">
      <c r="A59">
        <v>57</v>
      </c>
      <c r="B59">
        <v>58</v>
      </c>
      <c r="C59" s="25">
        <v>5</v>
      </c>
      <c r="D59" s="11">
        <v>2014</v>
      </c>
      <c r="E59" s="11">
        <v>1.2699999999999999E-2</v>
      </c>
      <c r="F59" s="12">
        <v>0.13980000000000001</v>
      </c>
      <c r="G59" s="11">
        <v>0.92579999999999996</v>
      </c>
      <c r="H59" s="11">
        <v>0.85029999999999994</v>
      </c>
      <c r="I59" s="12">
        <v>9.0399999999999994E-2</v>
      </c>
      <c r="J59" s="11">
        <v>0.1842</v>
      </c>
      <c r="K59" s="11">
        <v>1.04E-2</v>
      </c>
      <c r="L59" s="11">
        <f t="shared" si="1"/>
        <v>0.23907080884410861</v>
      </c>
      <c r="M59" s="16">
        <v>2</v>
      </c>
      <c r="N59" s="16">
        <v>2</v>
      </c>
      <c r="O59" s="16">
        <v>2</v>
      </c>
      <c r="P59" s="16">
        <v>2</v>
      </c>
      <c r="Q59" s="16">
        <v>2</v>
      </c>
      <c r="R59" s="16">
        <v>2</v>
      </c>
      <c r="S59" s="16">
        <v>2</v>
      </c>
      <c r="T59" s="16">
        <v>2</v>
      </c>
      <c r="U59" s="16">
        <v>2</v>
      </c>
      <c r="V59" s="16">
        <v>2</v>
      </c>
      <c r="W59" s="16">
        <v>2</v>
      </c>
      <c r="X59" s="29">
        <v>0.68799999999999994</v>
      </c>
      <c r="Y59" s="29">
        <v>11879000000</v>
      </c>
      <c r="Z59" s="23">
        <v>0</v>
      </c>
      <c r="AA59" s="23">
        <v>1</v>
      </c>
      <c r="AB59" s="13">
        <v>1</v>
      </c>
      <c r="AC59" s="20">
        <v>0.99990000000000001</v>
      </c>
      <c r="AD59" s="49">
        <v>0.16377627</v>
      </c>
      <c r="AE59" s="18">
        <v>0.17107</v>
      </c>
      <c r="AF59" s="11">
        <f t="shared" si="2"/>
        <v>0</v>
      </c>
    </row>
    <row r="60" spans="1:32" ht="15.5">
      <c r="A60">
        <v>58</v>
      </c>
      <c r="B60">
        <v>59</v>
      </c>
      <c r="C60" s="25">
        <v>5</v>
      </c>
      <c r="D60" s="11">
        <v>2015</v>
      </c>
      <c r="E60" s="11">
        <v>1.43E-2</v>
      </c>
      <c r="F60" s="12">
        <v>0.1139</v>
      </c>
      <c r="G60" s="11">
        <v>0.9194</v>
      </c>
      <c r="H60" s="11">
        <v>0.89629999999999999</v>
      </c>
      <c r="I60" s="12">
        <v>8.2500000000000004E-2</v>
      </c>
      <c r="J60" s="11">
        <v>0.18110000000000001</v>
      </c>
      <c r="K60" s="11">
        <v>1.46E-2</v>
      </c>
      <c r="L60" s="11">
        <f t="shared" si="1"/>
        <v>0.21406326831666941</v>
      </c>
      <c r="M60" s="16">
        <v>2</v>
      </c>
      <c r="N60" s="16">
        <v>2</v>
      </c>
      <c r="O60" s="16">
        <v>2</v>
      </c>
      <c r="P60" s="16">
        <v>2</v>
      </c>
      <c r="Q60" s="16">
        <v>2</v>
      </c>
      <c r="R60" s="16">
        <v>2</v>
      </c>
      <c r="S60" s="16">
        <v>2</v>
      </c>
      <c r="T60" s="16">
        <v>2</v>
      </c>
      <c r="U60" s="16">
        <v>2</v>
      </c>
      <c r="V60" s="16">
        <v>2</v>
      </c>
      <c r="W60" s="16">
        <v>2</v>
      </c>
      <c r="X60" s="29">
        <v>0.72899999999999998</v>
      </c>
      <c r="Y60" s="29">
        <v>31284000000</v>
      </c>
      <c r="Z60" s="23">
        <v>0</v>
      </c>
      <c r="AA60" s="23">
        <v>1</v>
      </c>
      <c r="AB60" s="13">
        <v>1</v>
      </c>
      <c r="AC60" s="20">
        <v>0.99990000000000001</v>
      </c>
      <c r="AD60" s="14">
        <v>0.19321265000000001</v>
      </c>
      <c r="AE60" s="18">
        <v>0.14119000000000001</v>
      </c>
      <c r="AF60" s="11">
        <f t="shared" si="2"/>
        <v>0</v>
      </c>
    </row>
    <row r="61" spans="1:32" ht="15.5">
      <c r="A61">
        <v>59</v>
      </c>
      <c r="B61">
        <v>60</v>
      </c>
      <c r="C61" s="25">
        <v>5</v>
      </c>
      <c r="D61" s="11">
        <v>2016</v>
      </c>
      <c r="E61" s="11">
        <v>1.44E-2</v>
      </c>
      <c r="F61" s="12">
        <v>0.11940000000000001</v>
      </c>
      <c r="G61" s="11">
        <v>0.84570000000000001</v>
      </c>
      <c r="H61" s="11">
        <v>0.87670000000000003</v>
      </c>
      <c r="I61" s="12">
        <v>8.3199999999999996E-2</v>
      </c>
      <c r="J61" s="11">
        <v>0.17810000000000001</v>
      </c>
      <c r="K61" s="11">
        <v>1.6400000000000001E-2</v>
      </c>
      <c r="L61" s="11">
        <f t="shared" si="1"/>
        <v>0.22722567287784681</v>
      </c>
      <c r="M61" s="16">
        <v>2</v>
      </c>
      <c r="N61" s="16">
        <v>2</v>
      </c>
      <c r="O61" s="16">
        <v>2</v>
      </c>
      <c r="P61" s="16">
        <v>2</v>
      </c>
      <c r="Q61" s="16">
        <v>2</v>
      </c>
      <c r="R61" s="16">
        <v>2</v>
      </c>
      <c r="S61" s="16">
        <v>2</v>
      </c>
      <c r="T61" s="16">
        <v>2</v>
      </c>
      <c r="U61" s="16">
        <v>2</v>
      </c>
      <c r="V61" s="16">
        <v>2</v>
      </c>
      <c r="W61" s="16">
        <v>2</v>
      </c>
      <c r="X61" s="41" t="s">
        <v>27</v>
      </c>
      <c r="Y61" s="29">
        <v>22766000000</v>
      </c>
      <c r="Z61" s="23">
        <v>0</v>
      </c>
      <c r="AA61" s="23">
        <v>1</v>
      </c>
      <c r="AB61" s="13">
        <v>1</v>
      </c>
      <c r="AC61" s="14">
        <v>0.99990000000000001</v>
      </c>
      <c r="AD61" s="14">
        <v>0.19900000000000001</v>
      </c>
      <c r="AE61" s="18">
        <v>0.16187000000000001</v>
      </c>
      <c r="AF61" s="11">
        <f t="shared" si="2"/>
        <v>0</v>
      </c>
    </row>
    <row r="62" spans="1:32" ht="15.5">
      <c r="A62">
        <v>60</v>
      </c>
      <c r="B62">
        <v>61</v>
      </c>
      <c r="C62" s="25">
        <v>5</v>
      </c>
      <c r="D62" s="11">
        <v>2017</v>
      </c>
      <c r="E62" s="11">
        <v>1.3100000000000001E-2</v>
      </c>
      <c r="F62" s="12">
        <v>0.1142</v>
      </c>
      <c r="G62" s="11">
        <v>0.80210000000000004</v>
      </c>
      <c r="H62" s="11">
        <v>0.87619999999999998</v>
      </c>
      <c r="I62" s="12">
        <v>8.1000000000000003E-2</v>
      </c>
      <c r="J62" s="11">
        <v>0.2014</v>
      </c>
      <c r="K62" s="11">
        <v>1.4999999999999999E-2</v>
      </c>
      <c r="L62" s="11">
        <f t="shared" si="1"/>
        <v>0.24195358176342049</v>
      </c>
      <c r="M62" s="16">
        <v>2</v>
      </c>
      <c r="N62" s="16">
        <v>2</v>
      </c>
      <c r="O62" s="16">
        <v>2</v>
      </c>
      <c r="P62" s="16">
        <v>2</v>
      </c>
      <c r="Q62" s="16">
        <v>2</v>
      </c>
      <c r="R62" s="16">
        <v>2</v>
      </c>
      <c r="S62" s="16">
        <v>2</v>
      </c>
      <c r="T62" s="16">
        <v>2</v>
      </c>
      <c r="U62" s="16">
        <v>2</v>
      </c>
      <c r="V62" s="16">
        <v>2</v>
      </c>
      <c r="W62" s="16">
        <v>2</v>
      </c>
      <c r="X62" s="41" t="s">
        <v>39</v>
      </c>
      <c r="Y62" s="29">
        <v>24636000000</v>
      </c>
      <c r="Z62" s="23">
        <v>0</v>
      </c>
      <c r="AA62" s="23">
        <v>1</v>
      </c>
      <c r="AB62" s="13">
        <v>1</v>
      </c>
      <c r="AC62" s="14">
        <v>0.99950000000000006</v>
      </c>
      <c r="AD62" s="14">
        <v>0.22500000000000001</v>
      </c>
      <c r="AE62" s="18">
        <v>0.25220999999999999</v>
      </c>
      <c r="AF62" s="11">
        <f t="shared" si="2"/>
        <v>0</v>
      </c>
    </row>
    <row r="63" spans="1:32" ht="15.5">
      <c r="A63">
        <v>61</v>
      </c>
      <c r="B63">
        <v>62</v>
      </c>
      <c r="C63" s="25">
        <v>5</v>
      </c>
      <c r="D63" s="11">
        <v>2018</v>
      </c>
      <c r="E63" s="11">
        <v>1.4200000000000001E-2</v>
      </c>
      <c r="F63" s="12">
        <v>0.1053</v>
      </c>
      <c r="G63" s="11">
        <v>0.92600000000000005</v>
      </c>
      <c r="H63" s="11">
        <v>0.89800000000000002</v>
      </c>
      <c r="I63" s="12">
        <v>8.0100000000000005E-2</v>
      </c>
      <c r="J63" s="11">
        <v>0.19309999999999999</v>
      </c>
      <c r="K63" s="11">
        <v>1.52E-2</v>
      </c>
      <c r="L63" s="11">
        <f t="shared" si="1"/>
        <v>0.21351674641148324</v>
      </c>
      <c r="M63" s="16">
        <v>2</v>
      </c>
      <c r="N63" s="16">
        <v>2</v>
      </c>
      <c r="O63" s="16">
        <v>2</v>
      </c>
      <c r="P63" s="16">
        <v>2</v>
      </c>
      <c r="Q63" s="16">
        <v>2</v>
      </c>
      <c r="R63" s="16">
        <v>2</v>
      </c>
      <c r="S63" s="16">
        <v>2</v>
      </c>
      <c r="T63" s="16">
        <v>2</v>
      </c>
      <c r="U63" s="16">
        <v>2</v>
      </c>
      <c r="V63" s="16">
        <v>2</v>
      </c>
      <c r="W63" s="16">
        <v>2</v>
      </c>
      <c r="X63" s="41" t="s">
        <v>39</v>
      </c>
      <c r="Y63" s="29">
        <v>27751000000</v>
      </c>
      <c r="Z63" s="23">
        <v>0</v>
      </c>
      <c r="AA63" s="23">
        <v>1</v>
      </c>
      <c r="AB63" s="13">
        <v>1</v>
      </c>
      <c r="AC63" s="17">
        <v>0.99990000000000001</v>
      </c>
      <c r="AD63" s="17">
        <v>0.28399999999999997</v>
      </c>
      <c r="AE63" s="18">
        <v>0.23760999999999999</v>
      </c>
      <c r="AF63" s="11">
        <f t="shared" si="2"/>
        <v>0</v>
      </c>
    </row>
    <row r="64" spans="1:32" ht="15.5">
      <c r="A64">
        <v>62</v>
      </c>
      <c r="B64">
        <v>63</v>
      </c>
      <c r="C64" s="25">
        <v>5</v>
      </c>
      <c r="D64" s="11">
        <v>2019</v>
      </c>
      <c r="E64" s="11">
        <v>1.8200000000000001E-2</v>
      </c>
      <c r="F64" s="12">
        <v>0.13539999999999999</v>
      </c>
      <c r="G64" s="11">
        <v>0.74309999999999998</v>
      </c>
      <c r="H64" s="11">
        <v>0.81259999999999999</v>
      </c>
      <c r="I64" s="12">
        <v>7.3599999999999999E-2</v>
      </c>
      <c r="J64" s="11">
        <v>0.1888</v>
      </c>
      <c r="K64" s="11">
        <v>1.44E-2</v>
      </c>
      <c r="L64" s="11">
        <f t="shared" si="1"/>
        <v>0.26495127698872684</v>
      </c>
      <c r="M64" s="16">
        <v>2</v>
      </c>
      <c r="N64" s="16">
        <v>2</v>
      </c>
      <c r="O64" s="16">
        <v>2</v>
      </c>
      <c r="P64" s="16">
        <v>2</v>
      </c>
      <c r="Q64" s="16">
        <v>2</v>
      </c>
      <c r="R64" s="16">
        <v>2</v>
      </c>
      <c r="S64" s="16">
        <v>2</v>
      </c>
      <c r="T64" s="16">
        <v>2</v>
      </c>
      <c r="U64" s="16">
        <v>2</v>
      </c>
      <c r="V64" s="16">
        <v>2</v>
      </c>
      <c r="W64" s="16">
        <v>2</v>
      </c>
      <c r="X64" s="41" t="s">
        <v>40</v>
      </c>
      <c r="Y64" s="29">
        <v>46928000000</v>
      </c>
      <c r="Z64" s="23">
        <v>0</v>
      </c>
      <c r="AA64" s="23">
        <v>1</v>
      </c>
      <c r="AB64" s="13">
        <v>1</v>
      </c>
      <c r="AC64" s="13">
        <v>0.99970000000000003</v>
      </c>
      <c r="AD64" s="13">
        <v>0.33600000000000002</v>
      </c>
      <c r="AE64" s="42">
        <v>0.39241300000000001</v>
      </c>
      <c r="AF64" s="11">
        <f t="shared" si="2"/>
        <v>0</v>
      </c>
    </row>
    <row r="65" spans="1:32" ht="15.5">
      <c r="A65">
        <v>63</v>
      </c>
      <c r="B65">
        <v>64</v>
      </c>
      <c r="C65" s="25">
        <v>5</v>
      </c>
      <c r="D65" s="11">
        <v>2020</v>
      </c>
      <c r="E65" s="11">
        <v>1.3299999999999999E-2</v>
      </c>
      <c r="F65" s="11">
        <v>0</v>
      </c>
      <c r="G65" s="11">
        <v>0.68789999999999996</v>
      </c>
      <c r="H65" s="11">
        <v>0.84060000000000001</v>
      </c>
      <c r="I65" s="11">
        <v>0</v>
      </c>
      <c r="J65" s="11">
        <v>0.21360000000000001</v>
      </c>
      <c r="K65" s="11">
        <v>1.35E-2</v>
      </c>
      <c r="L65" s="11">
        <f t="shared" si="1"/>
        <v>0.14714656290531777</v>
      </c>
      <c r="M65" s="13">
        <v>2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0.8571428571428571</v>
      </c>
      <c r="Y65" s="13">
        <v>0</v>
      </c>
      <c r="Z65" s="23">
        <v>0</v>
      </c>
      <c r="AA65" s="23">
        <v>0</v>
      </c>
      <c r="AB65" s="13">
        <v>0</v>
      </c>
      <c r="AC65" s="13">
        <v>0</v>
      </c>
      <c r="AD65" s="13">
        <v>0</v>
      </c>
      <c r="AE65" s="43">
        <v>0</v>
      </c>
      <c r="AF65" s="11">
        <f t="shared" si="2"/>
        <v>0</v>
      </c>
    </row>
    <row r="66" spans="1:32" ht="15.5">
      <c r="A66">
        <v>64</v>
      </c>
      <c r="B66">
        <v>65</v>
      </c>
      <c r="C66" s="25">
        <v>6</v>
      </c>
      <c r="D66" s="11">
        <v>2010</v>
      </c>
      <c r="E66" s="11">
        <v>2.53E-2</v>
      </c>
      <c r="F66" s="13">
        <v>4.7100000000000003E-2</v>
      </c>
      <c r="G66" s="13">
        <v>0.6976</v>
      </c>
      <c r="H66" s="13">
        <v>1.8230999999999999</v>
      </c>
      <c r="I66" s="13">
        <v>5.3199999999999997E-2</v>
      </c>
      <c r="J66" s="13">
        <v>0.54810000000000003</v>
      </c>
      <c r="K66" s="13">
        <v>0</v>
      </c>
      <c r="L66" s="11">
        <f t="shared" si="1"/>
        <v>0.26726702899988103</v>
      </c>
      <c r="M66" s="13">
        <v>2</v>
      </c>
      <c r="N66" s="13">
        <v>2</v>
      </c>
      <c r="O66" s="13">
        <v>3</v>
      </c>
      <c r="P66" s="13">
        <v>2</v>
      </c>
      <c r="Q66" s="13">
        <v>2</v>
      </c>
      <c r="R66" s="13">
        <v>2</v>
      </c>
      <c r="S66" s="13">
        <v>3</v>
      </c>
      <c r="T66" s="13">
        <v>3</v>
      </c>
      <c r="U66" s="13">
        <v>2</v>
      </c>
      <c r="V66" s="13">
        <v>2</v>
      </c>
      <c r="W66" s="13">
        <v>2</v>
      </c>
      <c r="X66" s="48">
        <v>0.4375</v>
      </c>
      <c r="Y66" s="20">
        <v>0</v>
      </c>
      <c r="Z66" s="15">
        <v>1</v>
      </c>
      <c r="AA66" s="15">
        <v>1</v>
      </c>
      <c r="AB66" s="13">
        <v>1</v>
      </c>
      <c r="AC66" s="20">
        <v>0.9446</v>
      </c>
      <c r="AD66" s="13">
        <v>0.58199999999999996</v>
      </c>
      <c r="AE66" s="18" t="s">
        <v>41</v>
      </c>
      <c r="AF66" s="11">
        <f t="shared" ref="AF66:AF97" si="3">IF(L66&gt;1,1,0)</f>
        <v>0</v>
      </c>
    </row>
    <row r="67" spans="1:32" ht="15.5">
      <c r="A67">
        <v>65</v>
      </c>
      <c r="B67">
        <v>66</v>
      </c>
      <c r="C67" s="25">
        <v>6</v>
      </c>
      <c r="D67" s="11">
        <v>2011</v>
      </c>
      <c r="E67" s="11">
        <v>1.7500000000000002E-2</v>
      </c>
      <c r="F67" s="13">
        <v>2.8000000000000001E-2</v>
      </c>
      <c r="G67" s="13">
        <v>1.6296999999999999</v>
      </c>
      <c r="H67" s="13">
        <v>0.74299999999999999</v>
      </c>
      <c r="I67" s="13">
        <v>7.0000000000000007E-2</v>
      </c>
      <c r="J67" s="13">
        <v>0.61980000000000002</v>
      </c>
      <c r="K67" s="13">
        <v>8.2000000000000007E-3</v>
      </c>
      <c r="L67" s="11">
        <f t="shared" ref="L67:L130" si="4">(E67+F67+I67+J67)/(G67+H67+K67)</f>
        <v>0.30883279432147509</v>
      </c>
      <c r="M67" s="13">
        <v>2</v>
      </c>
      <c r="N67" s="13">
        <v>2</v>
      </c>
      <c r="O67" s="13">
        <v>3</v>
      </c>
      <c r="P67" s="13">
        <v>2</v>
      </c>
      <c r="Q67" s="13">
        <v>1</v>
      </c>
      <c r="R67" s="13">
        <v>2</v>
      </c>
      <c r="S67" s="13">
        <v>2</v>
      </c>
      <c r="T67" s="13">
        <v>2</v>
      </c>
      <c r="U67" s="13">
        <v>1</v>
      </c>
      <c r="V67" s="13">
        <v>1</v>
      </c>
      <c r="W67" s="13">
        <v>2</v>
      </c>
      <c r="X67" s="48">
        <v>0.4375</v>
      </c>
      <c r="Y67" s="20">
        <v>0</v>
      </c>
      <c r="Z67" s="15">
        <v>1</v>
      </c>
      <c r="AA67" s="15">
        <v>1</v>
      </c>
      <c r="AB67" s="13">
        <v>1</v>
      </c>
      <c r="AC67" s="20">
        <v>0.93810000000000004</v>
      </c>
      <c r="AD67" s="13">
        <v>0.39760000000000001</v>
      </c>
      <c r="AE67" s="18" t="s">
        <v>42</v>
      </c>
      <c r="AF67" s="11">
        <f t="shared" si="3"/>
        <v>0</v>
      </c>
    </row>
    <row r="68" spans="1:32" ht="15.5">
      <c r="A68">
        <v>66</v>
      </c>
      <c r="B68">
        <v>67</v>
      </c>
      <c r="C68" s="25">
        <v>6</v>
      </c>
      <c r="D68" s="11">
        <v>2012</v>
      </c>
      <c r="E68" s="11">
        <v>3.2899999999999999E-2</v>
      </c>
      <c r="F68" s="13">
        <v>7.7499999999999999E-2</v>
      </c>
      <c r="G68" s="13">
        <v>1.2387999999999999</v>
      </c>
      <c r="H68" s="13">
        <v>0.50760000000000005</v>
      </c>
      <c r="I68" s="13">
        <v>6.6699999999999995E-2</v>
      </c>
      <c r="J68" s="13">
        <v>0.32200000000000001</v>
      </c>
      <c r="K68" s="13">
        <v>1.9E-3</v>
      </c>
      <c r="L68" s="11">
        <f t="shared" si="4"/>
        <v>0.28547732082594518</v>
      </c>
      <c r="M68" s="13">
        <v>1</v>
      </c>
      <c r="N68" s="13">
        <v>1</v>
      </c>
      <c r="O68" s="13">
        <v>2</v>
      </c>
      <c r="P68" s="13">
        <v>1</v>
      </c>
      <c r="Q68" s="13">
        <v>1</v>
      </c>
      <c r="R68" s="13">
        <v>1</v>
      </c>
      <c r="S68" s="13">
        <v>2</v>
      </c>
      <c r="T68" s="13">
        <v>2</v>
      </c>
      <c r="U68" s="13">
        <v>1</v>
      </c>
      <c r="V68" s="13">
        <v>1</v>
      </c>
      <c r="W68" s="13">
        <v>2</v>
      </c>
      <c r="X68" s="48">
        <v>0.53100000000000003</v>
      </c>
      <c r="Y68" s="20">
        <v>0</v>
      </c>
      <c r="Z68" s="15">
        <v>1</v>
      </c>
      <c r="AA68" s="15">
        <v>1</v>
      </c>
      <c r="AB68" s="13">
        <v>1</v>
      </c>
      <c r="AC68" s="20">
        <v>0.96209999999999996</v>
      </c>
      <c r="AD68" s="13">
        <v>0.49424223</v>
      </c>
      <c r="AE68" s="18" t="s">
        <v>43</v>
      </c>
      <c r="AF68" s="11">
        <f t="shared" si="3"/>
        <v>0</v>
      </c>
    </row>
    <row r="69" spans="1:32" ht="15.5">
      <c r="A69">
        <v>67</v>
      </c>
      <c r="B69">
        <v>68</v>
      </c>
      <c r="C69" s="25">
        <v>6</v>
      </c>
      <c r="D69" s="11">
        <v>2013</v>
      </c>
      <c r="E69" s="11">
        <v>1.03E-2</v>
      </c>
      <c r="F69" s="11">
        <v>4.4400000000000002E-2</v>
      </c>
      <c r="G69" s="11">
        <v>0.90400000000000003</v>
      </c>
      <c r="H69" s="11">
        <v>0.81310000000000004</v>
      </c>
      <c r="I69" s="11">
        <v>4.9000000000000002E-2</v>
      </c>
      <c r="J69" s="11">
        <v>0.20830000000000001</v>
      </c>
      <c r="K69" s="11">
        <v>7.7000000000000002E-3</v>
      </c>
      <c r="L69" s="11">
        <f t="shared" si="4"/>
        <v>0.18089053803339517</v>
      </c>
      <c r="M69" s="13">
        <v>1</v>
      </c>
      <c r="N69" s="13">
        <v>1</v>
      </c>
      <c r="O69" s="13">
        <v>1</v>
      </c>
      <c r="P69" s="13">
        <v>1</v>
      </c>
      <c r="Q69" s="13">
        <v>1</v>
      </c>
      <c r="R69" s="13">
        <v>2</v>
      </c>
      <c r="S69" s="13">
        <v>2</v>
      </c>
      <c r="T69" s="13">
        <v>2</v>
      </c>
      <c r="U69" s="13">
        <v>1</v>
      </c>
      <c r="V69" s="13">
        <v>1</v>
      </c>
      <c r="W69" s="13">
        <v>2</v>
      </c>
      <c r="X69" s="19">
        <v>0.69387755102040816</v>
      </c>
      <c r="Y69" s="13">
        <v>1665300000</v>
      </c>
      <c r="Z69" s="15">
        <v>1</v>
      </c>
      <c r="AA69" s="15">
        <v>1</v>
      </c>
      <c r="AB69" s="13">
        <v>1</v>
      </c>
      <c r="AC69" s="20">
        <v>0.96479999999999999</v>
      </c>
      <c r="AD69" s="13">
        <v>0.52289271000000004</v>
      </c>
      <c r="AE69" s="18" t="s">
        <v>44</v>
      </c>
      <c r="AF69" s="11">
        <f t="shared" si="3"/>
        <v>0</v>
      </c>
    </row>
    <row r="70" spans="1:32" ht="15.5">
      <c r="A70">
        <v>68</v>
      </c>
      <c r="B70">
        <v>69</v>
      </c>
      <c r="C70" s="25">
        <v>6</v>
      </c>
      <c r="D70" s="11">
        <v>2014</v>
      </c>
      <c r="E70" s="63">
        <v>1.9900000000000001E-2</v>
      </c>
      <c r="F70" s="12">
        <v>7.6600000000000001E-2</v>
      </c>
      <c r="G70" s="63">
        <v>0.94040000000000001</v>
      </c>
      <c r="H70" s="16">
        <v>0.68469999999999998</v>
      </c>
      <c r="I70" s="16">
        <v>1.0059999999999999E-2</v>
      </c>
      <c r="J70" s="63">
        <v>0.25690000000000002</v>
      </c>
      <c r="K70" s="16">
        <v>2.8999999999999998E-3</v>
      </c>
      <c r="L70" s="11">
        <f t="shared" si="4"/>
        <v>0.22325552825552827</v>
      </c>
      <c r="M70" s="16">
        <v>1</v>
      </c>
      <c r="N70" s="16">
        <v>1</v>
      </c>
      <c r="O70" s="16">
        <v>1</v>
      </c>
      <c r="P70" s="16">
        <v>1</v>
      </c>
      <c r="Q70" s="16">
        <v>2</v>
      </c>
      <c r="R70" s="16">
        <v>2</v>
      </c>
      <c r="S70" s="16">
        <v>2</v>
      </c>
      <c r="T70" s="16">
        <v>2</v>
      </c>
      <c r="U70" s="16">
        <v>1</v>
      </c>
      <c r="V70" s="16">
        <v>1</v>
      </c>
      <c r="W70" s="16">
        <v>2</v>
      </c>
      <c r="X70" s="19">
        <v>0.69387755102040816</v>
      </c>
      <c r="Y70" s="13">
        <v>2454654000</v>
      </c>
      <c r="Z70" s="23">
        <v>1</v>
      </c>
      <c r="AA70" s="23">
        <v>1</v>
      </c>
      <c r="AB70" s="13">
        <v>1</v>
      </c>
      <c r="AC70" s="14">
        <v>0.94059999999999999</v>
      </c>
      <c r="AD70" s="14">
        <v>0.8669</v>
      </c>
      <c r="AE70" s="18">
        <v>4.0090000000000001E-2</v>
      </c>
      <c r="AF70" s="11">
        <f t="shared" si="3"/>
        <v>0</v>
      </c>
    </row>
    <row r="71" spans="1:32" ht="15.5">
      <c r="A71">
        <v>69</v>
      </c>
      <c r="B71">
        <v>70</v>
      </c>
      <c r="C71" s="25">
        <v>6</v>
      </c>
      <c r="D71" s="11">
        <v>2015</v>
      </c>
      <c r="E71" s="16">
        <v>1.14E-2</v>
      </c>
      <c r="F71" s="12">
        <v>4.9399999999999999E-2</v>
      </c>
      <c r="G71" s="63">
        <v>0.96430000000000005</v>
      </c>
      <c r="H71" s="16">
        <v>0.89290000000000003</v>
      </c>
      <c r="I71" s="16">
        <v>5.4300000000000001E-2</v>
      </c>
      <c r="J71" s="63">
        <v>0.20300000000000001</v>
      </c>
      <c r="K71" s="16">
        <v>1.9400000000000001E-2</v>
      </c>
      <c r="L71" s="11">
        <f t="shared" si="4"/>
        <v>0.16950868592134713</v>
      </c>
      <c r="M71" s="16">
        <v>2</v>
      </c>
      <c r="N71" s="16">
        <v>2</v>
      </c>
      <c r="O71" s="16">
        <v>2</v>
      </c>
      <c r="P71" s="16">
        <v>2</v>
      </c>
      <c r="Q71" s="16">
        <v>2</v>
      </c>
      <c r="R71" s="16">
        <v>2</v>
      </c>
      <c r="S71" s="16">
        <v>2</v>
      </c>
      <c r="T71" s="16">
        <v>2</v>
      </c>
      <c r="U71" s="16">
        <v>2</v>
      </c>
      <c r="V71" s="16">
        <v>2</v>
      </c>
      <c r="W71" s="16">
        <v>2</v>
      </c>
      <c r="X71" s="50" t="s">
        <v>28</v>
      </c>
      <c r="Y71" s="13">
        <v>1933000000</v>
      </c>
      <c r="Z71" s="23">
        <v>1</v>
      </c>
      <c r="AA71" s="23">
        <v>1</v>
      </c>
      <c r="AB71" s="13">
        <v>1</v>
      </c>
      <c r="AC71" s="14">
        <v>0.96830000000000005</v>
      </c>
      <c r="AD71" s="14">
        <v>0.90559999999999996</v>
      </c>
      <c r="AE71" s="18">
        <v>5.5109999999999999E-2</v>
      </c>
      <c r="AF71" s="11">
        <f t="shared" si="3"/>
        <v>0</v>
      </c>
    </row>
    <row r="72" spans="1:32" ht="15.5">
      <c r="A72">
        <v>70</v>
      </c>
      <c r="B72">
        <v>71</v>
      </c>
      <c r="C72" s="25">
        <v>6</v>
      </c>
      <c r="D72" s="11">
        <v>2016</v>
      </c>
      <c r="E72" s="11">
        <v>3.7000000000000002E-3</v>
      </c>
      <c r="F72" s="12">
        <v>1.7600000000000001E-2</v>
      </c>
      <c r="G72" s="11">
        <v>0.91990000000000005</v>
      </c>
      <c r="H72" s="11">
        <v>0.9617</v>
      </c>
      <c r="I72" s="49">
        <v>2.155E-2</v>
      </c>
      <c r="J72" s="11">
        <v>0.1817</v>
      </c>
      <c r="K72" s="11">
        <v>2.2599999999999999E-2</v>
      </c>
      <c r="L72" s="11">
        <f t="shared" si="4"/>
        <v>0.11792353744354583</v>
      </c>
      <c r="M72" s="16">
        <v>2</v>
      </c>
      <c r="N72" s="16">
        <v>2</v>
      </c>
      <c r="O72" s="16">
        <v>2</v>
      </c>
      <c r="P72" s="16">
        <v>2</v>
      </c>
      <c r="Q72" s="16">
        <v>2</v>
      </c>
      <c r="R72" s="16">
        <v>2</v>
      </c>
      <c r="S72" s="16">
        <v>2</v>
      </c>
      <c r="T72" s="16">
        <v>2</v>
      </c>
      <c r="U72" s="16">
        <v>2</v>
      </c>
      <c r="V72" s="16">
        <v>2</v>
      </c>
      <c r="W72" s="16">
        <v>2</v>
      </c>
      <c r="X72" s="18" t="s">
        <v>36</v>
      </c>
      <c r="Y72" s="13">
        <v>712000000</v>
      </c>
      <c r="Z72" s="15">
        <v>1</v>
      </c>
      <c r="AA72" s="15">
        <v>1</v>
      </c>
      <c r="AB72" s="13">
        <v>1</v>
      </c>
      <c r="AC72" s="14">
        <v>0.96719999999999995</v>
      </c>
      <c r="AD72" s="14">
        <v>0.81759999999999999</v>
      </c>
      <c r="AE72" s="18">
        <v>7.7009999999999995E-2</v>
      </c>
      <c r="AF72" s="11">
        <f t="shared" si="3"/>
        <v>0</v>
      </c>
    </row>
    <row r="73" spans="1:32" ht="15.5">
      <c r="A73">
        <v>71</v>
      </c>
      <c r="B73">
        <v>72</v>
      </c>
      <c r="C73" s="25">
        <v>6</v>
      </c>
      <c r="D73" s="11">
        <v>2017</v>
      </c>
      <c r="E73" s="11">
        <v>0.1077</v>
      </c>
      <c r="F73" s="12">
        <v>0.94010000000000005</v>
      </c>
      <c r="G73" s="11">
        <v>0.86950000000000005</v>
      </c>
      <c r="H73" s="11">
        <v>2.1739999999999999</v>
      </c>
      <c r="I73" s="49">
        <v>1.8890000000000001E-2</v>
      </c>
      <c r="J73" s="11">
        <v>0.11509999999999999</v>
      </c>
      <c r="K73" s="11">
        <v>3.7999999999999999E-2</v>
      </c>
      <c r="L73" s="11">
        <f t="shared" si="4"/>
        <v>0.38351127697549903</v>
      </c>
      <c r="M73" s="16">
        <v>3</v>
      </c>
      <c r="N73" s="16">
        <v>3</v>
      </c>
      <c r="O73" s="16">
        <v>3</v>
      </c>
      <c r="P73" s="16">
        <v>3</v>
      </c>
      <c r="Q73" s="16">
        <v>3</v>
      </c>
      <c r="R73" s="16">
        <v>3</v>
      </c>
      <c r="S73" s="16">
        <v>3</v>
      </c>
      <c r="T73" s="16">
        <v>3</v>
      </c>
      <c r="U73" s="16">
        <v>3</v>
      </c>
      <c r="V73" s="16">
        <v>3</v>
      </c>
      <c r="W73" s="16">
        <v>3</v>
      </c>
      <c r="X73" s="18" t="s">
        <v>45</v>
      </c>
      <c r="Y73" s="13">
        <v>711570000</v>
      </c>
      <c r="Z73" s="15">
        <v>1</v>
      </c>
      <c r="AA73" s="15">
        <v>1</v>
      </c>
      <c r="AB73" s="13">
        <v>1</v>
      </c>
      <c r="AC73" s="14">
        <v>0.9738</v>
      </c>
      <c r="AD73" s="14">
        <v>0.76524000000000003</v>
      </c>
      <c r="AE73" s="18">
        <v>0.11101</v>
      </c>
      <c r="AF73" s="11">
        <f t="shared" si="3"/>
        <v>0</v>
      </c>
    </row>
    <row r="74" spans="1:32" ht="15.5">
      <c r="A74">
        <v>72</v>
      </c>
      <c r="B74">
        <v>73</v>
      </c>
      <c r="C74" s="25">
        <v>6</v>
      </c>
      <c r="D74" s="11">
        <v>2018</v>
      </c>
      <c r="E74" s="11">
        <v>2.5999999999999999E-3</v>
      </c>
      <c r="F74" s="12">
        <v>1.4500000000000001E-2</v>
      </c>
      <c r="G74" s="11">
        <v>0.88819999999999999</v>
      </c>
      <c r="H74" s="11">
        <v>0.99570000000000003</v>
      </c>
      <c r="I74" s="49">
        <v>9.6240000000000006E-2</v>
      </c>
      <c r="J74" s="11">
        <v>0.23150000000000001</v>
      </c>
      <c r="K74" s="11">
        <v>3.8399999999999997E-2</v>
      </c>
      <c r="L74" s="11">
        <f t="shared" si="4"/>
        <v>0.17938927326639964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8" t="s">
        <v>26</v>
      </c>
      <c r="Y74" s="13">
        <v>535309694</v>
      </c>
      <c r="Z74" s="23">
        <v>1</v>
      </c>
      <c r="AA74" s="23">
        <v>1</v>
      </c>
      <c r="AB74" s="13">
        <v>1</v>
      </c>
      <c r="AC74" s="14">
        <v>0.99990000000000001</v>
      </c>
      <c r="AD74" s="14">
        <v>0.88500000000000001</v>
      </c>
      <c r="AE74" s="18">
        <v>5.0869999999999999E-2</v>
      </c>
      <c r="AF74" s="11">
        <f t="shared" si="3"/>
        <v>0</v>
      </c>
    </row>
    <row r="75" spans="1:32" ht="15.5">
      <c r="A75">
        <v>73</v>
      </c>
      <c r="B75">
        <v>74</v>
      </c>
      <c r="C75" s="25">
        <v>6</v>
      </c>
      <c r="D75" s="11">
        <v>2019</v>
      </c>
      <c r="E75" s="11">
        <v>2.5000000000000001E-3</v>
      </c>
      <c r="F75" s="12">
        <v>1.0800000000000001E-2</v>
      </c>
      <c r="G75" s="11">
        <v>0.95720000000000005</v>
      </c>
      <c r="H75" s="11">
        <v>0.97740000000000005</v>
      </c>
      <c r="I75" s="12">
        <v>1.46E-2</v>
      </c>
      <c r="J75" s="11">
        <v>0.14460000000000001</v>
      </c>
      <c r="K75" s="11">
        <v>2.8000000000000001E-2</v>
      </c>
      <c r="L75" s="11">
        <f t="shared" si="4"/>
        <v>8.7893610516661572E-2</v>
      </c>
      <c r="M75" s="16">
        <v>2</v>
      </c>
      <c r="N75" s="16">
        <v>2</v>
      </c>
      <c r="O75" s="16">
        <v>2</v>
      </c>
      <c r="P75" s="16">
        <v>2</v>
      </c>
      <c r="Q75" s="16">
        <v>2</v>
      </c>
      <c r="R75" s="16">
        <v>2</v>
      </c>
      <c r="S75" s="16">
        <v>2</v>
      </c>
      <c r="T75" s="16">
        <v>2</v>
      </c>
      <c r="U75" s="16">
        <v>2</v>
      </c>
      <c r="V75" s="16">
        <v>2</v>
      </c>
      <c r="W75" s="16">
        <v>2</v>
      </c>
      <c r="X75" s="14">
        <v>0.77</v>
      </c>
      <c r="Y75" s="13">
        <v>1118945000</v>
      </c>
      <c r="Z75" s="15">
        <v>1</v>
      </c>
      <c r="AA75" s="15">
        <v>1</v>
      </c>
      <c r="AB75" s="13">
        <v>1</v>
      </c>
      <c r="AC75" s="14">
        <v>0.97740000000000005</v>
      </c>
      <c r="AD75" s="14">
        <v>0.92780200000000002</v>
      </c>
      <c r="AE75" s="18" t="s">
        <v>46</v>
      </c>
      <c r="AF75" s="11">
        <f t="shared" si="3"/>
        <v>0</v>
      </c>
    </row>
    <row r="76" spans="1:32" ht="15.5">
      <c r="A76">
        <v>74</v>
      </c>
      <c r="B76">
        <v>75</v>
      </c>
      <c r="C76" s="25">
        <v>6</v>
      </c>
      <c r="D76" s="11">
        <v>2020</v>
      </c>
      <c r="E76" s="11">
        <v>5.9999999999999995E-4</v>
      </c>
      <c r="F76" s="11">
        <v>0</v>
      </c>
      <c r="G76" s="11">
        <v>1.1171</v>
      </c>
      <c r="H76" s="11">
        <v>0.99419999999999997</v>
      </c>
      <c r="I76" s="11">
        <v>0</v>
      </c>
      <c r="J76" s="11">
        <v>0.31430000000000002</v>
      </c>
      <c r="K76" s="11">
        <v>2.4500000000000001E-2</v>
      </c>
      <c r="L76" s="11">
        <f t="shared" si="4"/>
        <v>0.14743889877329339</v>
      </c>
      <c r="M76" s="13">
        <v>2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0.73469387755102045</v>
      </c>
      <c r="Y76" s="13">
        <v>0</v>
      </c>
      <c r="Z76" s="23">
        <v>0</v>
      </c>
      <c r="AA76" s="23">
        <v>0</v>
      </c>
      <c r="AB76" s="13">
        <v>0</v>
      </c>
      <c r="AC76" s="13">
        <v>0</v>
      </c>
      <c r="AD76" s="13">
        <v>0</v>
      </c>
      <c r="AE76" s="18">
        <v>0</v>
      </c>
      <c r="AF76" s="11">
        <f t="shared" si="3"/>
        <v>0</v>
      </c>
    </row>
    <row r="77" spans="1:32" ht="15.5">
      <c r="A77">
        <v>75</v>
      </c>
      <c r="B77">
        <v>76</v>
      </c>
      <c r="C77" s="25">
        <v>7</v>
      </c>
      <c r="D77" s="11">
        <v>2010</v>
      </c>
      <c r="E77" s="13">
        <v>7.1999999999999998E-3</v>
      </c>
      <c r="F77" s="13">
        <v>1.6199999999999999E-2</v>
      </c>
      <c r="G77" s="13">
        <v>1.2131000000000001</v>
      </c>
      <c r="H77" s="61">
        <v>0.90329999999999999</v>
      </c>
      <c r="I77" s="11">
        <v>8.2900000000000001E-2</v>
      </c>
      <c r="J77" s="11">
        <v>0.31390000000000001</v>
      </c>
      <c r="K77" s="11">
        <v>1.04E-2</v>
      </c>
      <c r="L77" s="11">
        <f t="shared" si="4"/>
        <v>0.19757381982320857</v>
      </c>
      <c r="M77" s="22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8">
        <v>0.52083299999999999</v>
      </c>
      <c r="Y77" s="13">
        <v>500000000</v>
      </c>
      <c r="Z77" s="23">
        <v>1</v>
      </c>
      <c r="AA77" s="23">
        <v>1</v>
      </c>
      <c r="AB77" s="22">
        <v>0</v>
      </c>
      <c r="AC77" s="20">
        <v>0.99960000000000004</v>
      </c>
      <c r="AD77" s="20">
        <v>9.4700000000000006E-2</v>
      </c>
      <c r="AE77" s="18" t="s">
        <v>47</v>
      </c>
      <c r="AF77" s="11">
        <f t="shared" si="3"/>
        <v>0</v>
      </c>
    </row>
    <row r="78" spans="1:32" ht="15.5">
      <c r="A78">
        <v>76</v>
      </c>
      <c r="B78">
        <v>77</v>
      </c>
      <c r="C78" s="25">
        <v>7</v>
      </c>
      <c r="D78" s="11">
        <v>2011</v>
      </c>
      <c r="E78" s="11">
        <v>1.23E-2</v>
      </c>
      <c r="F78" s="11">
        <v>3.6499999999999998E-2</v>
      </c>
      <c r="G78" s="11">
        <v>0.79610000000000003</v>
      </c>
      <c r="H78" s="61">
        <v>0.85</v>
      </c>
      <c r="I78" s="11">
        <v>7.8399999999999997E-2</v>
      </c>
      <c r="J78" s="61">
        <v>0.20499999999999999</v>
      </c>
      <c r="K78" s="11">
        <v>7.0000000000000001E-3</v>
      </c>
      <c r="L78" s="11">
        <f t="shared" si="4"/>
        <v>0.20095578004960374</v>
      </c>
      <c r="M78" s="22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8">
        <v>0.75</v>
      </c>
      <c r="Y78" s="13">
        <v>100000000</v>
      </c>
      <c r="Z78" s="23">
        <v>1</v>
      </c>
      <c r="AA78" s="23">
        <v>1</v>
      </c>
      <c r="AB78" s="22">
        <v>0</v>
      </c>
      <c r="AC78" s="20">
        <v>0.99990000000000001</v>
      </c>
      <c r="AD78" s="20">
        <v>0.31940000000000002</v>
      </c>
      <c r="AE78" s="18" t="s">
        <v>48</v>
      </c>
      <c r="AF78" s="11">
        <f t="shared" si="3"/>
        <v>0</v>
      </c>
    </row>
    <row r="79" spans="1:32" ht="15.5">
      <c r="A79">
        <v>77</v>
      </c>
      <c r="B79">
        <v>78</v>
      </c>
      <c r="C79" s="25">
        <v>7</v>
      </c>
      <c r="D79" s="11">
        <v>2012</v>
      </c>
      <c r="E79" s="11">
        <v>6.7000000000000002E-3</v>
      </c>
      <c r="F79" s="11">
        <v>3.2599999999999997E-2</v>
      </c>
      <c r="G79" s="11">
        <v>0.87990000000000002</v>
      </c>
      <c r="H79" s="61">
        <v>0.86</v>
      </c>
      <c r="I79" s="11">
        <v>7.4099999999999999E-2</v>
      </c>
      <c r="J79" s="61">
        <v>0.215</v>
      </c>
      <c r="K79" s="61">
        <v>6.0000000000000001E-3</v>
      </c>
      <c r="L79" s="11">
        <f t="shared" si="4"/>
        <v>0.18809782919983964</v>
      </c>
      <c r="M79" s="13">
        <v>2</v>
      </c>
      <c r="N79" s="13">
        <v>3</v>
      </c>
      <c r="O79" s="13">
        <v>3</v>
      </c>
      <c r="P79" s="13">
        <v>2</v>
      </c>
      <c r="Q79" s="13">
        <v>2</v>
      </c>
      <c r="R79" s="13">
        <v>3</v>
      </c>
      <c r="S79" s="13">
        <v>2</v>
      </c>
      <c r="T79" s="13">
        <v>2</v>
      </c>
      <c r="U79" s="13">
        <v>2</v>
      </c>
      <c r="V79" s="13">
        <v>2</v>
      </c>
      <c r="W79" s="13">
        <v>3</v>
      </c>
      <c r="X79" s="48">
        <v>0.75</v>
      </c>
      <c r="Y79" s="13">
        <v>700000000</v>
      </c>
      <c r="Z79" s="23">
        <v>1</v>
      </c>
      <c r="AA79" s="23">
        <v>1</v>
      </c>
      <c r="AB79" s="13">
        <v>1</v>
      </c>
      <c r="AC79" s="20">
        <v>0.99990000000000001</v>
      </c>
      <c r="AD79" s="20">
        <v>1.83E-2</v>
      </c>
      <c r="AE79" s="18">
        <v>4.8899999999999999E-2</v>
      </c>
      <c r="AF79" s="11">
        <f t="shared" si="3"/>
        <v>0</v>
      </c>
    </row>
    <row r="80" spans="1:32" ht="15.5">
      <c r="A80">
        <v>78</v>
      </c>
      <c r="B80">
        <v>79</v>
      </c>
      <c r="C80" s="25">
        <v>7</v>
      </c>
      <c r="D80" s="11">
        <v>2013</v>
      </c>
      <c r="E80" s="11">
        <v>9.1000000000000004E-3</v>
      </c>
      <c r="F80" s="11">
        <v>4.65E-2</v>
      </c>
      <c r="G80" s="11">
        <v>0.97399999999999998</v>
      </c>
      <c r="H80" s="11">
        <v>0.85760000000000003</v>
      </c>
      <c r="I80" s="11">
        <v>6.6500000000000004E-2</v>
      </c>
      <c r="J80" s="11">
        <v>0.1799</v>
      </c>
      <c r="K80" s="11">
        <v>1.8599999999999998E-2</v>
      </c>
      <c r="L80" s="11">
        <f t="shared" si="4"/>
        <v>0.16322559723273161</v>
      </c>
      <c r="M80" s="13">
        <v>1</v>
      </c>
      <c r="N80" s="13">
        <v>2</v>
      </c>
      <c r="O80" s="13">
        <v>1</v>
      </c>
      <c r="P80" s="13">
        <v>1</v>
      </c>
      <c r="Q80" s="13">
        <v>1</v>
      </c>
      <c r="R80" s="13">
        <v>3</v>
      </c>
      <c r="S80" s="13">
        <v>2</v>
      </c>
      <c r="T80" s="13">
        <v>1</v>
      </c>
      <c r="U80" s="13">
        <v>1</v>
      </c>
      <c r="V80" s="13">
        <v>2</v>
      </c>
      <c r="W80" s="13">
        <v>3</v>
      </c>
      <c r="X80" s="48">
        <v>0.79166669999999995</v>
      </c>
      <c r="Y80" s="13">
        <v>245000000</v>
      </c>
      <c r="Z80" s="23">
        <v>1</v>
      </c>
      <c r="AA80" s="23">
        <v>1</v>
      </c>
      <c r="AB80" s="13">
        <v>1</v>
      </c>
      <c r="AC80" s="20">
        <v>0.99990000000000001</v>
      </c>
      <c r="AD80" s="51">
        <v>0.54830000000000001</v>
      </c>
      <c r="AE80" s="18" t="s">
        <v>49</v>
      </c>
      <c r="AF80" s="11">
        <f t="shared" si="3"/>
        <v>0</v>
      </c>
    </row>
    <row r="81" spans="1:32" ht="15.5">
      <c r="A81">
        <v>79</v>
      </c>
      <c r="B81">
        <v>80</v>
      </c>
      <c r="C81" s="25">
        <v>7</v>
      </c>
      <c r="D81" s="11">
        <v>2014</v>
      </c>
      <c r="E81" s="11">
        <v>7.1999999999999998E-3</v>
      </c>
      <c r="F81" s="12">
        <v>3.73E-2</v>
      </c>
      <c r="G81" s="11">
        <v>0.84019999999999995</v>
      </c>
      <c r="H81" s="11">
        <v>0.91010000000000002</v>
      </c>
      <c r="I81" s="12">
        <v>8.3400000000000002E-2</v>
      </c>
      <c r="J81" s="11">
        <v>0.1578</v>
      </c>
      <c r="K81" s="11">
        <v>5.8400000000000001E-2</v>
      </c>
      <c r="L81" s="11">
        <f t="shared" si="4"/>
        <v>0.15795875490683917</v>
      </c>
      <c r="M81" s="16">
        <v>2</v>
      </c>
      <c r="N81" s="16">
        <v>2</v>
      </c>
      <c r="O81" s="16">
        <v>2</v>
      </c>
      <c r="P81" s="16">
        <v>2</v>
      </c>
      <c r="Q81" s="16">
        <v>2</v>
      </c>
      <c r="R81" s="16">
        <v>2</v>
      </c>
      <c r="S81" s="16">
        <v>2</v>
      </c>
      <c r="T81" s="16">
        <v>2</v>
      </c>
      <c r="U81" s="16">
        <v>2</v>
      </c>
      <c r="V81" s="16">
        <v>2</v>
      </c>
      <c r="W81" s="16">
        <v>2</v>
      </c>
      <c r="X81" s="19">
        <v>0.81632653061224492</v>
      </c>
      <c r="Y81" s="13">
        <v>230000000</v>
      </c>
      <c r="Z81" s="23">
        <v>1</v>
      </c>
      <c r="AA81" s="23">
        <v>1</v>
      </c>
      <c r="AB81" s="13">
        <v>1</v>
      </c>
      <c r="AC81" s="14">
        <v>0.99970000000000003</v>
      </c>
      <c r="AD81" s="14">
        <v>0.22320000000000001</v>
      </c>
      <c r="AE81" s="18" t="s">
        <v>50</v>
      </c>
      <c r="AF81" s="11">
        <f t="shared" si="3"/>
        <v>0</v>
      </c>
    </row>
    <row r="82" spans="1:32" ht="15.5">
      <c r="A82">
        <v>80</v>
      </c>
      <c r="B82">
        <v>81</v>
      </c>
      <c r="C82" s="25">
        <v>7</v>
      </c>
      <c r="D82" s="11">
        <v>2015</v>
      </c>
      <c r="E82" s="11">
        <v>2.5000000000000001E-3</v>
      </c>
      <c r="F82" s="12">
        <v>9.1999999999999998E-3</v>
      </c>
      <c r="G82" s="11">
        <v>1.0475000000000001</v>
      </c>
      <c r="H82" s="11">
        <v>0.96940000000000004</v>
      </c>
      <c r="I82" s="16">
        <v>3.6080000000000001E-2</v>
      </c>
      <c r="J82" s="11">
        <v>0.2253</v>
      </c>
      <c r="K82" s="11">
        <v>6.93E-2</v>
      </c>
      <c r="L82" s="11">
        <f t="shared" si="4"/>
        <v>0.13089828396126926</v>
      </c>
      <c r="M82" s="16">
        <v>3</v>
      </c>
      <c r="N82" s="16">
        <v>3</v>
      </c>
      <c r="O82" s="16">
        <v>3</v>
      </c>
      <c r="P82" s="16">
        <v>3</v>
      </c>
      <c r="Q82" s="16">
        <v>3</v>
      </c>
      <c r="R82" s="16">
        <v>3</v>
      </c>
      <c r="S82" s="16">
        <v>3</v>
      </c>
      <c r="T82" s="16">
        <v>3</v>
      </c>
      <c r="U82" s="16">
        <v>3</v>
      </c>
      <c r="V82" s="16">
        <v>3</v>
      </c>
      <c r="W82" s="16">
        <v>3</v>
      </c>
      <c r="X82" s="19">
        <v>0.81632653061224492</v>
      </c>
      <c r="Y82" s="20">
        <v>181566000</v>
      </c>
      <c r="Z82" s="23">
        <v>1</v>
      </c>
      <c r="AA82" s="23">
        <v>1</v>
      </c>
      <c r="AB82" s="13">
        <v>1</v>
      </c>
      <c r="AC82" s="14">
        <v>0.99990000000000001</v>
      </c>
      <c r="AD82" s="14">
        <v>0.19470000000000001</v>
      </c>
      <c r="AE82" s="18" t="s">
        <v>51</v>
      </c>
      <c r="AF82" s="11">
        <f t="shared" si="3"/>
        <v>0</v>
      </c>
    </row>
    <row r="83" spans="1:32" ht="15.5">
      <c r="A83">
        <v>81</v>
      </c>
      <c r="B83">
        <v>82</v>
      </c>
      <c r="C83" s="10">
        <v>7</v>
      </c>
      <c r="D83" s="11">
        <v>2016</v>
      </c>
      <c r="E83" s="11">
        <v>8.09E-2</v>
      </c>
      <c r="F83" s="12">
        <v>0.49049999999999999</v>
      </c>
      <c r="G83" s="11">
        <v>0.98729999999999996</v>
      </c>
      <c r="H83" s="11">
        <v>1.2277</v>
      </c>
      <c r="I83" s="16">
        <v>4.4580000000000002E-2</v>
      </c>
      <c r="J83" s="11">
        <v>0.1825</v>
      </c>
      <c r="K83" s="11">
        <v>0.17910000000000001</v>
      </c>
      <c r="L83" s="11">
        <f t="shared" si="4"/>
        <v>0.33351990309510882</v>
      </c>
      <c r="M83" s="16">
        <v>3</v>
      </c>
      <c r="N83" s="16">
        <v>3</v>
      </c>
      <c r="O83" s="16">
        <v>3</v>
      </c>
      <c r="P83" s="16">
        <v>3</v>
      </c>
      <c r="Q83" s="16">
        <v>3</v>
      </c>
      <c r="R83" s="16">
        <v>3</v>
      </c>
      <c r="S83" s="16">
        <v>3</v>
      </c>
      <c r="T83" s="16">
        <v>3</v>
      </c>
      <c r="U83" s="16">
        <v>3</v>
      </c>
      <c r="V83" s="16">
        <v>3</v>
      </c>
      <c r="W83" s="16">
        <v>3</v>
      </c>
      <c r="X83" s="18" t="s">
        <v>52</v>
      </c>
      <c r="Y83" s="20">
        <v>494345000</v>
      </c>
      <c r="Z83" s="23">
        <v>1</v>
      </c>
      <c r="AA83" s="23">
        <v>1</v>
      </c>
      <c r="AB83" s="13">
        <v>1</v>
      </c>
      <c r="AC83" s="14">
        <v>0.99980000000000002</v>
      </c>
      <c r="AD83" s="14">
        <v>0.2382</v>
      </c>
      <c r="AE83" s="18">
        <v>5.7700000000000001E-2</v>
      </c>
      <c r="AF83" s="11">
        <f t="shared" si="3"/>
        <v>0</v>
      </c>
    </row>
    <row r="84" spans="1:32" ht="15.5">
      <c r="A84">
        <v>82</v>
      </c>
      <c r="B84">
        <v>83</v>
      </c>
      <c r="C84" s="10">
        <v>7</v>
      </c>
      <c r="D84" s="11">
        <v>2017</v>
      </c>
      <c r="E84" s="11">
        <v>5.6899999999999999E-2</v>
      </c>
      <c r="F84" s="12">
        <v>0.58640000000000003</v>
      </c>
      <c r="G84" s="11">
        <v>0.9103</v>
      </c>
      <c r="H84" s="11">
        <v>1.3463000000000001</v>
      </c>
      <c r="I84" s="16">
        <v>5.5890000000000002E-2</v>
      </c>
      <c r="J84" s="11">
        <v>0.16250000000000001</v>
      </c>
      <c r="K84" s="11">
        <v>0.22040000000000001</v>
      </c>
      <c r="L84" s="11">
        <f t="shared" si="4"/>
        <v>0.34787646346386752</v>
      </c>
      <c r="M84" s="16">
        <v>3</v>
      </c>
      <c r="N84" s="16">
        <v>3</v>
      </c>
      <c r="O84" s="16">
        <v>3</v>
      </c>
      <c r="P84" s="16">
        <v>3</v>
      </c>
      <c r="Q84" s="16">
        <v>3</v>
      </c>
      <c r="R84" s="16">
        <v>3</v>
      </c>
      <c r="S84" s="16">
        <v>3</v>
      </c>
      <c r="T84" s="16">
        <v>3</v>
      </c>
      <c r="U84" s="16">
        <v>3</v>
      </c>
      <c r="V84" s="16">
        <v>3</v>
      </c>
      <c r="W84" s="16">
        <v>3</v>
      </c>
      <c r="X84" s="18" t="s">
        <v>53</v>
      </c>
      <c r="Y84" s="20">
        <v>279628000</v>
      </c>
      <c r="Z84" s="23">
        <v>1</v>
      </c>
      <c r="AA84" s="23">
        <v>1</v>
      </c>
      <c r="AB84" s="13">
        <v>1</v>
      </c>
      <c r="AC84" s="14">
        <v>0.99990000000000001</v>
      </c>
      <c r="AD84" s="14">
        <v>0.1787</v>
      </c>
      <c r="AE84" s="18">
        <v>5.3699999999999998E-2</v>
      </c>
      <c r="AF84" s="11">
        <f t="shared" si="3"/>
        <v>0</v>
      </c>
    </row>
    <row r="85" spans="1:32" ht="15.5">
      <c r="A85">
        <v>83</v>
      </c>
      <c r="B85">
        <v>84</v>
      </c>
      <c r="C85" s="10">
        <v>7</v>
      </c>
      <c r="D85" s="11">
        <v>2018</v>
      </c>
      <c r="E85" s="11">
        <v>5.4000000000000003E-3</v>
      </c>
      <c r="F85" s="12">
        <v>2.63E-2</v>
      </c>
      <c r="G85" s="11">
        <v>0.89849999999999997</v>
      </c>
      <c r="H85" s="11">
        <v>0.9466</v>
      </c>
      <c r="I85" s="16">
        <v>2.1999999999999999E-2</v>
      </c>
      <c r="J85" s="11">
        <v>0.1643</v>
      </c>
      <c r="K85" s="11">
        <v>4.58E-2</v>
      </c>
      <c r="L85" s="11">
        <f t="shared" si="4"/>
        <v>0.11528901581257602</v>
      </c>
      <c r="M85" s="16">
        <v>3</v>
      </c>
      <c r="N85" s="16">
        <v>3</v>
      </c>
      <c r="O85" s="16">
        <v>3</v>
      </c>
      <c r="P85" s="16">
        <v>3</v>
      </c>
      <c r="Q85" s="16">
        <v>3</v>
      </c>
      <c r="R85" s="16">
        <v>3</v>
      </c>
      <c r="S85" s="16">
        <v>3</v>
      </c>
      <c r="T85" s="16">
        <v>3</v>
      </c>
      <c r="U85" s="16">
        <v>3</v>
      </c>
      <c r="V85" s="16">
        <v>3</v>
      </c>
      <c r="W85" s="16">
        <v>3</v>
      </c>
      <c r="X85" s="18" t="s">
        <v>54</v>
      </c>
      <c r="Y85" s="20">
        <v>338783000</v>
      </c>
      <c r="Z85" s="23">
        <v>1</v>
      </c>
      <c r="AA85" s="23">
        <v>1</v>
      </c>
      <c r="AB85" s="13">
        <v>1</v>
      </c>
      <c r="AC85" s="20">
        <v>0.99990000000000001</v>
      </c>
      <c r="AD85" s="20">
        <v>0.21340000000000001</v>
      </c>
      <c r="AE85" s="18" t="s">
        <v>55</v>
      </c>
      <c r="AF85" s="11">
        <f t="shared" si="3"/>
        <v>0</v>
      </c>
    </row>
    <row r="86" spans="1:32" ht="15.5">
      <c r="A86">
        <v>84</v>
      </c>
      <c r="B86">
        <v>85</v>
      </c>
      <c r="C86" s="10">
        <v>7</v>
      </c>
      <c r="D86" s="11">
        <v>2019</v>
      </c>
      <c r="E86" s="11">
        <v>6.0000000000000001E-3</v>
      </c>
      <c r="F86" s="12">
        <v>2.3300000000000001E-2</v>
      </c>
      <c r="G86" s="11">
        <v>0.93530000000000002</v>
      </c>
      <c r="H86" s="11">
        <v>0.93930000000000002</v>
      </c>
      <c r="I86" s="16">
        <v>1.3350000000000001E-2</v>
      </c>
      <c r="J86" s="11">
        <v>0.14949999999999999</v>
      </c>
      <c r="K86" s="11">
        <v>3.5400000000000001E-2</v>
      </c>
      <c r="L86" s="11">
        <f t="shared" si="4"/>
        <v>0.10060209424083769</v>
      </c>
      <c r="M86" s="16">
        <v>3</v>
      </c>
      <c r="N86" s="16">
        <v>3</v>
      </c>
      <c r="O86" s="16">
        <v>3</v>
      </c>
      <c r="P86" s="16">
        <v>3</v>
      </c>
      <c r="Q86" s="16">
        <v>3</v>
      </c>
      <c r="R86" s="16">
        <v>3</v>
      </c>
      <c r="S86" s="16">
        <v>3</v>
      </c>
      <c r="T86" s="16">
        <v>3</v>
      </c>
      <c r="U86" s="16">
        <v>3</v>
      </c>
      <c r="V86" s="16">
        <v>3</v>
      </c>
      <c r="W86" s="16">
        <v>3</v>
      </c>
      <c r="X86" s="18" t="s">
        <v>56</v>
      </c>
      <c r="Y86" s="20">
        <v>521576000</v>
      </c>
      <c r="Z86" s="23">
        <v>1</v>
      </c>
      <c r="AA86" s="23">
        <v>1</v>
      </c>
      <c r="AB86" s="13">
        <v>1</v>
      </c>
      <c r="AC86" s="20">
        <v>0.99990000000000001</v>
      </c>
      <c r="AD86" s="13">
        <v>0.209289433</v>
      </c>
      <c r="AE86" s="18" t="s">
        <v>57</v>
      </c>
      <c r="AF86" s="11">
        <f t="shared" si="3"/>
        <v>0</v>
      </c>
    </row>
    <row r="87" spans="1:32" ht="15.5">
      <c r="A87">
        <v>85</v>
      </c>
      <c r="B87">
        <v>86</v>
      </c>
      <c r="C87" s="10">
        <v>7</v>
      </c>
      <c r="D87" s="11">
        <v>2020</v>
      </c>
      <c r="E87" s="11">
        <v>4.1000000000000003E-3</v>
      </c>
      <c r="F87" s="13">
        <v>0</v>
      </c>
      <c r="G87" s="13">
        <v>0.86639999999999995</v>
      </c>
      <c r="H87" s="11">
        <v>0.95409999999999995</v>
      </c>
      <c r="I87" s="11">
        <v>0</v>
      </c>
      <c r="J87" s="11">
        <v>0.2414</v>
      </c>
      <c r="K87" s="11">
        <v>5.28E-2</v>
      </c>
      <c r="L87" s="11">
        <f t="shared" si="4"/>
        <v>0.13105215395291731</v>
      </c>
      <c r="M87" s="13">
        <v>3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0.83673469387755106</v>
      </c>
      <c r="Y87" s="13">
        <v>0</v>
      </c>
      <c r="Z87" s="23">
        <v>0</v>
      </c>
      <c r="AA87" s="23">
        <v>0</v>
      </c>
      <c r="AB87" s="13">
        <v>0</v>
      </c>
      <c r="AC87" s="13">
        <v>0</v>
      </c>
      <c r="AD87" s="13">
        <v>0</v>
      </c>
      <c r="AE87" s="18" t="s">
        <v>58</v>
      </c>
      <c r="AF87" s="11">
        <f t="shared" si="3"/>
        <v>0</v>
      </c>
    </row>
    <row r="88" spans="1:32" ht="15.5">
      <c r="A88">
        <v>86</v>
      </c>
      <c r="B88">
        <v>87</v>
      </c>
      <c r="C88" s="10">
        <v>8</v>
      </c>
      <c r="D88" s="11">
        <v>2010</v>
      </c>
      <c r="E88" s="13">
        <v>1.9E-2</v>
      </c>
      <c r="F88" s="13">
        <v>0.2681</v>
      </c>
      <c r="G88" s="13">
        <v>0.78169999999999995</v>
      </c>
      <c r="H88" s="11">
        <v>0.88859999999999995</v>
      </c>
      <c r="I88" s="11">
        <v>0.15490000000000001</v>
      </c>
      <c r="J88" s="11">
        <v>0.13139999999999999</v>
      </c>
      <c r="K88" s="13">
        <v>3.5200000000000002E-2</v>
      </c>
      <c r="L88" s="11">
        <f t="shared" si="4"/>
        <v>0.33620639108765765</v>
      </c>
      <c r="M88" s="13">
        <v>1</v>
      </c>
      <c r="N88" s="19">
        <v>2</v>
      </c>
      <c r="O88" s="19">
        <v>2</v>
      </c>
      <c r="P88" s="19">
        <v>2</v>
      </c>
      <c r="Q88" s="19">
        <v>2</v>
      </c>
      <c r="R88" s="19">
        <v>2</v>
      </c>
      <c r="S88" s="19">
        <v>2</v>
      </c>
      <c r="T88" s="19">
        <v>2</v>
      </c>
      <c r="U88" s="19">
        <v>2</v>
      </c>
      <c r="V88" s="19">
        <v>2</v>
      </c>
      <c r="W88" s="19">
        <v>2</v>
      </c>
      <c r="X88" s="48">
        <v>0.22309999999999999</v>
      </c>
      <c r="Y88" s="13">
        <v>2162882000</v>
      </c>
      <c r="Z88" s="23">
        <v>1</v>
      </c>
      <c r="AA88" s="23">
        <v>1</v>
      </c>
      <c r="AB88" s="13">
        <v>1</v>
      </c>
      <c r="AC88" s="20">
        <v>0.99980000000000002</v>
      </c>
      <c r="AD88" s="13">
        <v>4.7399999999999998E-2</v>
      </c>
      <c r="AE88" s="18" t="s">
        <v>58</v>
      </c>
      <c r="AF88" s="11">
        <f t="shared" si="3"/>
        <v>0</v>
      </c>
    </row>
    <row r="89" spans="1:32" ht="15.5">
      <c r="A89">
        <v>87</v>
      </c>
      <c r="B89">
        <v>88</v>
      </c>
      <c r="C89" s="10">
        <v>8</v>
      </c>
      <c r="D89" s="11">
        <v>2011</v>
      </c>
      <c r="E89" s="13">
        <v>1.5800000000000002E-2</v>
      </c>
      <c r="F89" s="17">
        <v>0.16889999999999999</v>
      </c>
      <c r="G89" s="13">
        <v>0.83079999999999998</v>
      </c>
      <c r="H89" s="11">
        <v>0.90800000000000003</v>
      </c>
      <c r="I89" s="11">
        <v>0.15329999999999999</v>
      </c>
      <c r="J89" s="11">
        <v>0.1203</v>
      </c>
      <c r="K89" s="11">
        <v>3.0300000000000001E-2</v>
      </c>
      <c r="L89" s="11">
        <f t="shared" si="4"/>
        <v>0.25905827822056415</v>
      </c>
      <c r="M89" s="13">
        <v>1</v>
      </c>
      <c r="N89" s="13">
        <v>2</v>
      </c>
      <c r="O89" s="13">
        <v>2</v>
      </c>
      <c r="P89" s="13">
        <v>2</v>
      </c>
      <c r="Q89" s="13">
        <v>2</v>
      </c>
      <c r="R89" s="13">
        <v>2</v>
      </c>
      <c r="S89" s="13">
        <v>2</v>
      </c>
      <c r="T89" s="13">
        <v>1</v>
      </c>
      <c r="U89" s="13">
        <v>2</v>
      </c>
      <c r="V89" s="13">
        <v>2</v>
      </c>
      <c r="W89" s="13">
        <v>2</v>
      </c>
      <c r="X89" s="48">
        <v>0.18179999999999999</v>
      </c>
      <c r="Y89" s="13">
        <v>1847617000</v>
      </c>
      <c r="Z89" s="23">
        <v>1</v>
      </c>
      <c r="AA89" s="23">
        <v>1</v>
      </c>
      <c r="AB89" s="13">
        <v>1</v>
      </c>
      <c r="AC89" s="20">
        <v>0.99980000000000002</v>
      </c>
      <c r="AD89" s="13">
        <v>1.77E-2</v>
      </c>
      <c r="AE89" s="18" t="s">
        <v>59</v>
      </c>
      <c r="AF89" s="11">
        <f t="shared" si="3"/>
        <v>0</v>
      </c>
    </row>
    <row r="90" spans="1:32" ht="15.5">
      <c r="A90">
        <v>88</v>
      </c>
      <c r="B90">
        <v>89</v>
      </c>
      <c r="C90" s="10">
        <v>8</v>
      </c>
      <c r="D90" s="11">
        <v>2012</v>
      </c>
      <c r="E90" s="11">
        <v>3.8100000000000002E-2</v>
      </c>
      <c r="F90" s="13">
        <v>0.57979999999999998</v>
      </c>
      <c r="G90" s="13">
        <v>0.88880000000000003</v>
      </c>
      <c r="H90" s="11">
        <v>0.77280000000000004</v>
      </c>
      <c r="I90" s="11">
        <v>0.1394</v>
      </c>
      <c r="J90" s="11">
        <v>0.1351</v>
      </c>
      <c r="K90" s="11">
        <v>2.6700000000000002E-2</v>
      </c>
      <c r="L90" s="11">
        <f t="shared" si="4"/>
        <v>0.52857904400876621</v>
      </c>
      <c r="M90" s="13">
        <v>1</v>
      </c>
      <c r="N90" s="13">
        <v>1</v>
      </c>
      <c r="O90" s="13">
        <v>2</v>
      </c>
      <c r="P90" s="13">
        <v>2</v>
      </c>
      <c r="Q90" s="13">
        <v>2</v>
      </c>
      <c r="R90" s="13">
        <v>2</v>
      </c>
      <c r="S90" s="13">
        <v>2</v>
      </c>
      <c r="T90" s="13">
        <v>1</v>
      </c>
      <c r="U90" s="13">
        <v>1</v>
      </c>
      <c r="V90" s="13">
        <v>2</v>
      </c>
      <c r="W90" s="13">
        <v>2</v>
      </c>
      <c r="X90" s="29">
        <v>0.19009999999999999</v>
      </c>
      <c r="Y90" s="29">
        <v>5930742000</v>
      </c>
      <c r="Z90" s="23">
        <v>1</v>
      </c>
      <c r="AA90" s="23">
        <v>1</v>
      </c>
      <c r="AB90" s="13">
        <v>1</v>
      </c>
      <c r="AC90" s="20">
        <v>0.99990000000000001</v>
      </c>
      <c r="AD90" s="13">
        <v>5.4752899999999998E-3</v>
      </c>
      <c r="AE90" s="18" t="s">
        <v>60</v>
      </c>
      <c r="AF90" s="11">
        <f t="shared" si="3"/>
        <v>0</v>
      </c>
    </row>
    <row r="91" spans="1:32" ht="15.5">
      <c r="A91">
        <v>89</v>
      </c>
      <c r="B91">
        <v>90</v>
      </c>
      <c r="C91" s="10">
        <v>8</v>
      </c>
      <c r="D91" s="11">
        <v>2013</v>
      </c>
      <c r="E91" s="11">
        <v>2.3300000000000001E-2</v>
      </c>
      <c r="F91" s="11">
        <v>0.26229999999999998</v>
      </c>
      <c r="G91" s="11">
        <v>0.93369999999999997</v>
      </c>
      <c r="H91" s="11">
        <v>0.8609</v>
      </c>
      <c r="I91" s="11">
        <v>0.1066</v>
      </c>
      <c r="J91" s="11">
        <v>0.12989999999999999</v>
      </c>
      <c r="K91" s="11">
        <v>2.98E-2</v>
      </c>
      <c r="L91" s="11">
        <f t="shared" si="4"/>
        <v>0.28617627713220783</v>
      </c>
      <c r="M91" s="13">
        <v>1</v>
      </c>
      <c r="N91" s="13">
        <v>1</v>
      </c>
      <c r="O91" s="13">
        <v>2</v>
      </c>
      <c r="P91" s="13">
        <v>1</v>
      </c>
      <c r="Q91" s="13">
        <v>2</v>
      </c>
      <c r="R91" s="13">
        <v>2</v>
      </c>
      <c r="S91" s="13">
        <v>2</v>
      </c>
      <c r="T91" s="13">
        <v>2</v>
      </c>
      <c r="U91" s="13">
        <v>2</v>
      </c>
      <c r="V91" s="13">
        <v>2</v>
      </c>
      <c r="W91" s="13">
        <v>2</v>
      </c>
      <c r="X91" s="29">
        <v>0.63300000000000001</v>
      </c>
      <c r="Y91" s="29">
        <v>5121471000</v>
      </c>
      <c r="Z91" s="23">
        <v>1</v>
      </c>
      <c r="AA91" s="23">
        <v>1</v>
      </c>
      <c r="AB91" s="13">
        <v>1</v>
      </c>
      <c r="AC91" s="20">
        <v>0.99980000000000002</v>
      </c>
      <c r="AD91" s="13">
        <v>5.9713700000000001E-3</v>
      </c>
      <c r="AE91" s="18" t="s">
        <v>61</v>
      </c>
      <c r="AF91" s="11">
        <f t="shared" si="3"/>
        <v>0</v>
      </c>
    </row>
    <row r="92" spans="1:32" ht="15.5">
      <c r="A92">
        <v>90</v>
      </c>
      <c r="B92">
        <v>91</v>
      </c>
      <c r="C92" s="10">
        <v>8</v>
      </c>
      <c r="D92" s="11">
        <v>2014</v>
      </c>
      <c r="E92" s="11">
        <v>2.8999999999999998E-3</v>
      </c>
      <c r="F92" s="12">
        <v>2.5000000000000001E-2</v>
      </c>
      <c r="G92" s="11">
        <v>0.93610000000000004</v>
      </c>
      <c r="H92" s="11">
        <v>0.97609999999999997</v>
      </c>
      <c r="I92" s="12">
        <v>8.3299999999999999E-2</v>
      </c>
      <c r="J92" s="11">
        <v>0.19259999999999999</v>
      </c>
      <c r="K92" s="11">
        <v>3.8899999999999997E-2</v>
      </c>
      <c r="L92" s="11">
        <f t="shared" si="4"/>
        <v>0.15570703705601968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2</v>
      </c>
      <c r="S92" s="16">
        <v>2</v>
      </c>
      <c r="T92" s="16">
        <v>2</v>
      </c>
      <c r="U92" s="16">
        <v>1</v>
      </c>
      <c r="V92" s="16">
        <v>2</v>
      </c>
      <c r="W92" s="16">
        <v>2</v>
      </c>
      <c r="X92" s="29">
        <v>0.27079999999999999</v>
      </c>
      <c r="Y92" s="29">
        <v>5979390000</v>
      </c>
      <c r="Z92" s="23">
        <v>1</v>
      </c>
      <c r="AA92" s="23">
        <v>1</v>
      </c>
      <c r="AB92" s="13">
        <v>1</v>
      </c>
      <c r="AC92" s="14">
        <v>0.99990000000000001</v>
      </c>
      <c r="AD92" s="14">
        <v>7.4610700000000002E-3</v>
      </c>
      <c r="AE92" s="40">
        <v>0.395264</v>
      </c>
      <c r="AF92" s="11">
        <f t="shared" si="3"/>
        <v>0</v>
      </c>
    </row>
    <row r="93" spans="1:32" ht="15.5">
      <c r="A93">
        <v>91</v>
      </c>
      <c r="B93">
        <v>92</v>
      </c>
      <c r="C93" s="10">
        <v>8</v>
      </c>
      <c r="D93" s="11">
        <v>2015</v>
      </c>
      <c r="E93" s="11">
        <v>3.0000000000000001E-3</v>
      </c>
      <c r="F93" s="12">
        <v>1.61E-2</v>
      </c>
      <c r="G93" s="11">
        <v>0.9849</v>
      </c>
      <c r="H93" s="11">
        <v>0.99509999999999998</v>
      </c>
      <c r="I93" s="12">
        <v>9.3399999999999997E-2</v>
      </c>
      <c r="J93" s="11">
        <v>0.18740000000000001</v>
      </c>
      <c r="K93" s="11">
        <v>4.2599999999999999E-2</v>
      </c>
      <c r="L93" s="11">
        <f t="shared" si="4"/>
        <v>0.1482744981706714</v>
      </c>
      <c r="M93" s="16">
        <v>1</v>
      </c>
      <c r="N93" s="16">
        <v>2</v>
      </c>
      <c r="O93" s="16">
        <v>1</v>
      </c>
      <c r="P93" s="16">
        <v>1</v>
      </c>
      <c r="Q93" s="16">
        <v>1</v>
      </c>
      <c r="R93" s="16">
        <v>2</v>
      </c>
      <c r="S93" s="16">
        <v>2</v>
      </c>
      <c r="T93" s="16">
        <v>2</v>
      </c>
      <c r="U93" s="16">
        <v>1</v>
      </c>
      <c r="V93" s="16">
        <v>2</v>
      </c>
      <c r="W93" s="16">
        <v>2</v>
      </c>
      <c r="X93" s="29">
        <v>0.33329999999999999</v>
      </c>
      <c r="Y93" s="29">
        <v>1010000000</v>
      </c>
      <c r="Z93" s="23">
        <v>1</v>
      </c>
      <c r="AA93" s="23">
        <v>1</v>
      </c>
      <c r="AB93" s="13">
        <v>1</v>
      </c>
      <c r="AC93" s="14">
        <v>0.995</v>
      </c>
      <c r="AD93" s="21">
        <v>4.2478400000000001E-3</v>
      </c>
      <c r="AE93" s="18">
        <v>1.111E-2</v>
      </c>
      <c r="AF93" s="11">
        <f t="shared" si="3"/>
        <v>0</v>
      </c>
    </row>
    <row r="94" spans="1:32" ht="15.5">
      <c r="A94">
        <v>92</v>
      </c>
      <c r="B94">
        <v>93</v>
      </c>
      <c r="C94" s="25">
        <v>8</v>
      </c>
      <c r="D94" s="11">
        <v>2016</v>
      </c>
      <c r="E94" s="11">
        <v>2.63E-2</v>
      </c>
      <c r="F94" s="12">
        <v>0.1197</v>
      </c>
      <c r="G94" s="11">
        <v>0.95240000000000002</v>
      </c>
      <c r="H94" s="11">
        <v>0.88160000000000005</v>
      </c>
      <c r="I94" s="12">
        <v>7.5600000000000001E-2</v>
      </c>
      <c r="J94" s="11">
        <v>0.23530000000000001</v>
      </c>
      <c r="K94" s="11">
        <v>3.3000000000000002E-2</v>
      </c>
      <c r="L94" s="11">
        <f t="shared" si="4"/>
        <v>0.24472415640064274</v>
      </c>
      <c r="M94" s="16">
        <v>2</v>
      </c>
      <c r="N94" s="16">
        <v>2</v>
      </c>
      <c r="O94" s="16">
        <v>1</v>
      </c>
      <c r="P94" s="16">
        <v>1</v>
      </c>
      <c r="Q94" s="16">
        <v>2</v>
      </c>
      <c r="R94" s="16">
        <v>1</v>
      </c>
      <c r="S94" s="16">
        <v>2</v>
      </c>
      <c r="T94" s="16">
        <v>2</v>
      </c>
      <c r="U94" s="16">
        <v>1</v>
      </c>
      <c r="V94" s="16">
        <v>2</v>
      </c>
      <c r="W94" s="16">
        <v>2</v>
      </c>
      <c r="X94" s="41" t="s">
        <v>62</v>
      </c>
      <c r="Y94" s="29">
        <v>2127000000</v>
      </c>
      <c r="Z94" s="23">
        <v>1</v>
      </c>
      <c r="AA94" s="23">
        <v>1</v>
      </c>
      <c r="AB94" s="13">
        <v>1</v>
      </c>
      <c r="AC94" s="14">
        <v>0.99970000000000003</v>
      </c>
      <c r="AD94" s="14">
        <v>7.1999999999999995E-2</v>
      </c>
      <c r="AE94" s="18">
        <v>3.0810000000000001E-2</v>
      </c>
      <c r="AF94" s="11">
        <f t="shared" si="3"/>
        <v>0</v>
      </c>
    </row>
    <row r="95" spans="1:32" ht="15.5">
      <c r="A95">
        <v>93</v>
      </c>
      <c r="B95">
        <v>94</v>
      </c>
      <c r="C95" s="25">
        <v>8</v>
      </c>
      <c r="D95" s="11">
        <v>2017</v>
      </c>
      <c r="E95" s="11">
        <v>1.5599999999999999E-2</v>
      </c>
      <c r="F95" s="12">
        <v>6.7500000000000004E-2</v>
      </c>
      <c r="G95" s="11">
        <v>0.91049999999999998</v>
      </c>
      <c r="H95" s="11">
        <v>0.89159999999999995</v>
      </c>
      <c r="I95" s="12">
        <v>6.0299999999999999E-2</v>
      </c>
      <c r="J95" s="11">
        <v>0.22189999999999999</v>
      </c>
      <c r="K95" s="11">
        <v>2.9499999999999998E-2</v>
      </c>
      <c r="L95" s="11">
        <f t="shared" si="4"/>
        <v>0.19944310984931207</v>
      </c>
      <c r="M95" s="16">
        <v>2</v>
      </c>
      <c r="N95" s="16">
        <v>2</v>
      </c>
      <c r="O95" s="16">
        <v>1</v>
      </c>
      <c r="P95" s="16">
        <v>2</v>
      </c>
      <c r="Q95" s="16">
        <v>2</v>
      </c>
      <c r="R95" s="16">
        <v>1</v>
      </c>
      <c r="S95" s="16">
        <v>2</v>
      </c>
      <c r="T95" s="16">
        <v>2</v>
      </c>
      <c r="U95" s="16">
        <v>1</v>
      </c>
      <c r="V95" s="16">
        <v>2</v>
      </c>
      <c r="W95" s="16">
        <v>2</v>
      </c>
      <c r="X95" s="41" t="s">
        <v>63</v>
      </c>
      <c r="Y95" s="29">
        <v>6377242000</v>
      </c>
      <c r="Z95" s="23">
        <v>1</v>
      </c>
      <c r="AA95" s="23">
        <v>1</v>
      </c>
      <c r="AB95" s="13">
        <v>1</v>
      </c>
      <c r="AC95" s="14">
        <v>0.99970000000000003</v>
      </c>
      <c r="AD95" s="14">
        <v>0.14099999999999999</v>
      </c>
      <c r="AE95" s="18">
        <v>3.3369999999999997E-2</v>
      </c>
      <c r="AF95" s="11">
        <f t="shared" si="3"/>
        <v>0</v>
      </c>
    </row>
    <row r="96" spans="1:32" ht="15.5">
      <c r="A96">
        <v>94</v>
      </c>
      <c r="B96">
        <v>95</v>
      </c>
      <c r="C96" s="25">
        <v>8</v>
      </c>
      <c r="D96" s="11">
        <v>2018</v>
      </c>
      <c r="E96" s="11">
        <v>9.2999999999999992E-3</v>
      </c>
      <c r="F96" s="12">
        <v>4.0800000000000003E-2</v>
      </c>
      <c r="G96" s="11">
        <v>0.90880000000000005</v>
      </c>
      <c r="H96" s="11">
        <v>0.93840000000000001</v>
      </c>
      <c r="I96" s="12">
        <v>5.5199999999999999E-2</v>
      </c>
      <c r="J96" s="11">
        <v>0.2054</v>
      </c>
      <c r="K96" s="11">
        <v>2.1499999999999998E-2</v>
      </c>
      <c r="L96" s="11">
        <f t="shared" si="4"/>
        <v>0.16626531813560227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  <c r="R96" s="16">
        <v>1</v>
      </c>
      <c r="S96" s="16">
        <v>2</v>
      </c>
      <c r="T96" s="16">
        <v>1</v>
      </c>
      <c r="U96" s="16">
        <v>1</v>
      </c>
      <c r="V96" s="16">
        <v>1</v>
      </c>
      <c r="W96" s="16">
        <v>1</v>
      </c>
      <c r="X96" s="41" t="s">
        <v>28</v>
      </c>
      <c r="Y96" s="29">
        <v>4474593000</v>
      </c>
      <c r="Z96" s="23">
        <v>1</v>
      </c>
      <c r="AA96" s="23">
        <v>1</v>
      </c>
      <c r="AB96" s="13">
        <v>1</v>
      </c>
      <c r="AC96" s="14">
        <v>0.99939999999999996</v>
      </c>
      <c r="AD96" s="14">
        <v>0.24099999999999999</v>
      </c>
      <c r="AE96" s="18">
        <v>2.6509999999999999E-2</v>
      </c>
      <c r="AF96" s="11">
        <f t="shared" si="3"/>
        <v>0</v>
      </c>
    </row>
    <row r="97" spans="1:32" ht="15.5">
      <c r="A97">
        <v>95</v>
      </c>
      <c r="B97">
        <v>96</v>
      </c>
      <c r="C97" s="25">
        <v>8</v>
      </c>
      <c r="D97" s="11">
        <v>2019</v>
      </c>
      <c r="E97" s="11">
        <v>8.8999999999999999E-3</v>
      </c>
      <c r="F97" s="12">
        <v>0.42699999999999999</v>
      </c>
      <c r="G97" s="11">
        <v>0.94530000000000003</v>
      </c>
      <c r="H97" s="11">
        <v>0.93710000000000004</v>
      </c>
      <c r="I97" s="12">
        <v>5.3600000000000002E-2</v>
      </c>
      <c r="J97" s="11">
        <v>0.1996</v>
      </c>
      <c r="K97" s="11">
        <v>1.72E-2</v>
      </c>
      <c r="L97" s="11">
        <f t="shared" si="4"/>
        <v>0.36276058117498422</v>
      </c>
      <c r="M97" s="16">
        <v>1</v>
      </c>
      <c r="N97" s="16">
        <v>2</v>
      </c>
      <c r="O97" s="16">
        <v>1</v>
      </c>
      <c r="P97" s="16">
        <v>1</v>
      </c>
      <c r="Q97" s="16">
        <v>2</v>
      </c>
      <c r="R97" s="16">
        <v>2</v>
      </c>
      <c r="S97" s="16">
        <v>2</v>
      </c>
      <c r="T97" s="16">
        <v>2</v>
      </c>
      <c r="U97" s="16">
        <v>1</v>
      </c>
      <c r="V97" s="16">
        <v>1</v>
      </c>
      <c r="W97" s="16">
        <v>1</v>
      </c>
      <c r="X97" s="41" t="s">
        <v>64</v>
      </c>
      <c r="Y97" s="29">
        <v>3356988000</v>
      </c>
      <c r="Z97" s="23">
        <v>1</v>
      </c>
      <c r="AA97" s="23">
        <v>1</v>
      </c>
      <c r="AB97" s="13">
        <v>1</v>
      </c>
      <c r="AC97" s="14">
        <v>0.99950000000000006</v>
      </c>
      <c r="AD97" s="14">
        <v>0.33100000000000002</v>
      </c>
      <c r="AE97" s="18" t="s">
        <v>65</v>
      </c>
      <c r="AF97" s="11">
        <f t="shared" si="3"/>
        <v>0</v>
      </c>
    </row>
    <row r="98" spans="1:32" ht="15.5">
      <c r="A98">
        <v>96</v>
      </c>
      <c r="B98">
        <v>97</v>
      </c>
      <c r="C98" s="25">
        <v>8</v>
      </c>
      <c r="D98" s="11">
        <v>2020</v>
      </c>
      <c r="E98" s="11">
        <v>1.7399999999999999E-2</v>
      </c>
      <c r="F98" s="11">
        <v>0</v>
      </c>
      <c r="G98" s="11">
        <v>0.63939999999999997</v>
      </c>
      <c r="H98" s="11">
        <v>0.85519999999999996</v>
      </c>
      <c r="I98" s="11">
        <v>0</v>
      </c>
      <c r="J98" s="11">
        <v>0.24149999999999999</v>
      </c>
      <c r="K98" s="11">
        <v>1.49E-2</v>
      </c>
      <c r="L98" s="11">
        <f t="shared" si="4"/>
        <v>0.17151374627360055</v>
      </c>
      <c r="M98" s="13">
        <v>2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29">
        <v>0.79200000000000004</v>
      </c>
      <c r="Y98" s="13">
        <v>0</v>
      </c>
      <c r="Z98" s="23">
        <v>0</v>
      </c>
      <c r="AA98" s="23">
        <v>0</v>
      </c>
      <c r="AB98" s="13">
        <v>0</v>
      </c>
      <c r="AC98" s="13">
        <v>0</v>
      </c>
      <c r="AD98" s="13">
        <v>0</v>
      </c>
      <c r="AE98" s="18">
        <v>0</v>
      </c>
      <c r="AF98" s="11">
        <f t="shared" ref="AF98:AF129" si="5">IF(L98&gt;1,1,0)</f>
        <v>0</v>
      </c>
    </row>
    <row r="99" spans="1:32" ht="15.5">
      <c r="A99">
        <v>97</v>
      </c>
      <c r="B99">
        <v>98</v>
      </c>
      <c r="C99" s="25">
        <v>9</v>
      </c>
      <c r="D99" s="11">
        <v>2010</v>
      </c>
      <c r="E99" s="13">
        <v>1.1299999999999999E-2</v>
      </c>
      <c r="F99" s="13">
        <v>1.9400000000000001E-2</v>
      </c>
      <c r="G99" s="13">
        <v>0.77890000000000004</v>
      </c>
      <c r="H99" s="11">
        <v>0.91400000000000003</v>
      </c>
      <c r="I99" s="11">
        <v>9.4799999999999995E-2</v>
      </c>
      <c r="J99" s="11">
        <v>0.76400000000000001</v>
      </c>
      <c r="K99" s="11">
        <v>2.1899999999999999E-2</v>
      </c>
      <c r="L99" s="11">
        <f t="shared" si="4"/>
        <v>0.5187193841847445</v>
      </c>
      <c r="M99" s="13">
        <v>2.1</v>
      </c>
      <c r="N99" s="13">
        <v>2.1</v>
      </c>
      <c r="O99" s="13">
        <v>3</v>
      </c>
      <c r="P99" s="13">
        <v>2.1</v>
      </c>
      <c r="Q99" s="13">
        <v>3</v>
      </c>
      <c r="R99" s="13">
        <v>2.1</v>
      </c>
      <c r="S99" s="13">
        <v>2.1</v>
      </c>
      <c r="T99" s="13">
        <v>3</v>
      </c>
      <c r="U99" s="13">
        <v>1</v>
      </c>
      <c r="V99" s="13">
        <v>1</v>
      </c>
      <c r="W99" s="13">
        <v>2.1</v>
      </c>
      <c r="X99" s="48">
        <v>0.58333000000000002</v>
      </c>
      <c r="Y99" s="13">
        <v>0</v>
      </c>
      <c r="Z99" s="15">
        <v>0</v>
      </c>
      <c r="AA99" s="15">
        <v>1</v>
      </c>
      <c r="AB99" s="13">
        <v>1</v>
      </c>
      <c r="AC99" s="20">
        <v>0.99909999999999999</v>
      </c>
      <c r="AD99" s="20">
        <v>9.9000000000000008E-3</v>
      </c>
      <c r="AE99" s="18">
        <v>1.0098</v>
      </c>
      <c r="AF99" s="11">
        <f t="shared" si="5"/>
        <v>0</v>
      </c>
    </row>
    <row r="100" spans="1:32" ht="15.5">
      <c r="A100">
        <v>98</v>
      </c>
      <c r="B100">
        <v>99</v>
      </c>
      <c r="C100" s="25">
        <v>9</v>
      </c>
      <c r="D100" s="11">
        <v>2011</v>
      </c>
      <c r="E100" s="13">
        <v>8.9999999999999993E-3</v>
      </c>
      <c r="F100" s="11">
        <v>2.3E-2</v>
      </c>
      <c r="G100" s="11">
        <v>0.78800000000000003</v>
      </c>
      <c r="H100" s="61">
        <v>0.91720000000000002</v>
      </c>
      <c r="I100" s="11">
        <v>0.113</v>
      </c>
      <c r="J100" s="11">
        <v>0.45900000000000002</v>
      </c>
      <c r="K100" s="11">
        <v>2E-3</v>
      </c>
      <c r="L100" s="11">
        <f t="shared" si="4"/>
        <v>0.35379568884723528</v>
      </c>
      <c r="M100" s="13">
        <v>1.9</v>
      </c>
      <c r="N100" s="13">
        <v>1.9</v>
      </c>
      <c r="O100" s="13">
        <v>1.9</v>
      </c>
      <c r="P100" s="13">
        <v>1.9</v>
      </c>
      <c r="Q100" s="13">
        <v>1.9</v>
      </c>
      <c r="R100" s="13">
        <v>1.9</v>
      </c>
      <c r="S100" s="13">
        <v>1.9</v>
      </c>
      <c r="T100" s="13">
        <v>1.9</v>
      </c>
      <c r="U100" s="13">
        <v>1</v>
      </c>
      <c r="V100" s="13">
        <v>1</v>
      </c>
      <c r="W100" s="13">
        <v>1.9</v>
      </c>
      <c r="X100" s="48">
        <v>0.52</v>
      </c>
      <c r="Y100" s="13">
        <v>2031589000</v>
      </c>
      <c r="Z100" s="15">
        <v>0</v>
      </c>
      <c r="AA100" s="15">
        <v>1</v>
      </c>
      <c r="AB100" s="13">
        <v>1</v>
      </c>
      <c r="AC100" s="20">
        <v>0.99450000000000005</v>
      </c>
      <c r="AD100" s="20">
        <v>1.9800000000000002E-2</v>
      </c>
      <c r="AE100" s="18" t="s">
        <v>66</v>
      </c>
      <c r="AF100" s="11">
        <f t="shared" si="5"/>
        <v>0</v>
      </c>
    </row>
    <row r="101" spans="1:32" ht="15.5">
      <c r="A101">
        <v>99</v>
      </c>
      <c r="B101">
        <v>100</v>
      </c>
      <c r="C101" s="25">
        <v>9</v>
      </c>
      <c r="D101" s="11">
        <v>2012</v>
      </c>
      <c r="E101" s="13">
        <v>8.0000000000000002E-3</v>
      </c>
      <c r="F101" s="11">
        <v>2.8000000000000001E-2</v>
      </c>
      <c r="G101" s="11">
        <v>0.79900000000000004</v>
      </c>
      <c r="H101" s="13">
        <v>0.91400000000000003</v>
      </c>
      <c r="I101" s="13">
        <v>9.6000000000000002E-2</v>
      </c>
      <c r="J101" s="11">
        <v>0.315</v>
      </c>
      <c r="K101" s="11">
        <v>1E-3</v>
      </c>
      <c r="L101" s="11">
        <f t="shared" si="4"/>
        <v>0.26079346557759625</v>
      </c>
      <c r="M101" s="13">
        <v>1.8</v>
      </c>
      <c r="N101" s="13">
        <v>1.8</v>
      </c>
      <c r="O101" s="13">
        <v>1.8</v>
      </c>
      <c r="P101" s="13">
        <v>1</v>
      </c>
      <c r="Q101" s="13">
        <v>1.8</v>
      </c>
      <c r="R101" s="13">
        <v>1.8</v>
      </c>
      <c r="S101" s="13">
        <v>1.8</v>
      </c>
      <c r="T101" s="13">
        <v>1.8</v>
      </c>
      <c r="U101" s="13">
        <v>1</v>
      </c>
      <c r="V101" s="13">
        <v>1</v>
      </c>
      <c r="W101" s="13">
        <v>1.8</v>
      </c>
      <c r="X101" s="29">
        <v>0.5</v>
      </c>
      <c r="Y101" s="29">
        <v>9433286000</v>
      </c>
      <c r="Z101" s="15">
        <v>0</v>
      </c>
      <c r="AA101" s="15">
        <v>1</v>
      </c>
      <c r="AB101" s="13">
        <v>1</v>
      </c>
      <c r="AC101" s="17">
        <v>0.99990000000000001</v>
      </c>
      <c r="AD101" s="52">
        <v>0.46467101999999999</v>
      </c>
      <c r="AE101" s="18" t="s">
        <v>67</v>
      </c>
      <c r="AF101" s="11">
        <f t="shared" si="5"/>
        <v>0</v>
      </c>
    </row>
    <row r="102" spans="1:32" ht="15.5">
      <c r="A102">
        <v>100</v>
      </c>
      <c r="B102">
        <v>101</v>
      </c>
      <c r="C102" s="25">
        <v>9</v>
      </c>
      <c r="D102" s="11">
        <v>2013</v>
      </c>
      <c r="E102" s="11">
        <v>0.01</v>
      </c>
      <c r="F102" s="11">
        <v>4.2999999999999997E-2</v>
      </c>
      <c r="G102" s="11">
        <v>0.83499999999999996</v>
      </c>
      <c r="H102" s="11">
        <v>0.90200000000000002</v>
      </c>
      <c r="I102" s="11">
        <v>7.6999999999999999E-2</v>
      </c>
      <c r="J102" s="11">
        <v>0.224</v>
      </c>
      <c r="K102" s="11">
        <v>1E-3</v>
      </c>
      <c r="L102" s="11">
        <f t="shared" si="4"/>
        <v>0.20368239355581128</v>
      </c>
      <c r="M102" s="13">
        <v>2</v>
      </c>
      <c r="N102" s="13">
        <v>2</v>
      </c>
      <c r="O102" s="13">
        <v>2</v>
      </c>
      <c r="P102" s="13">
        <v>1</v>
      </c>
      <c r="Q102" s="13">
        <v>2</v>
      </c>
      <c r="R102" s="13">
        <v>1</v>
      </c>
      <c r="S102" s="13">
        <v>2</v>
      </c>
      <c r="T102" s="13">
        <v>2</v>
      </c>
      <c r="U102" s="13">
        <v>1</v>
      </c>
      <c r="V102" s="13">
        <v>1</v>
      </c>
      <c r="W102" s="13">
        <v>1</v>
      </c>
      <c r="X102" s="29">
        <v>0.625</v>
      </c>
      <c r="Y102" s="29">
        <v>10000000000</v>
      </c>
      <c r="Z102" s="15">
        <v>0</v>
      </c>
      <c r="AA102" s="15">
        <v>1</v>
      </c>
      <c r="AB102" s="13">
        <v>1</v>
      </c>
      <c r="AC102" s="17">
        <v>0.99990000000000001</v>
      </c>
      <c r="AD102" s="52">
        <v>0.52240092000000005</v>
      </c>
      <c r="AE102" s="43">
        <v>1.2531000000000001</v>
      </c>
      <c r="AF102" s="11">
        <f t="shared" si="5"/>
        <v>0</v>
      </c>
    </row>
    <row r="103" spans="1:32" ht="15.5">
      <c r="A103">
        <v>101</v>
      </c>
      <c r="B103">
        <v>102</v>
      </c>
      <c r="C103" s="25">
        <v>9</v>
      </c>
      <c r="D103" s="11">
        <v>2014</v>
      </c>
      <c r="E103" s="11">
        <v>8.0000000000000002E-3</v>
      </c>
      <c r="F103" s="12">
        <v>2.9000000000000001E-2</v>
      </c>
      <c r="G103" s="11">
        <v>0.91200000000000003</v>
      </c>
      <c r="H103" s="11">
        <v>0.92900000000000005</v>
      </c>
      <c r="I103" s="12">
        <v>4.2000000000000003E-2</v>
      </c>
      <c r="J103" s="11">
        <v>0.29599999999999999</v>
      </c>
      <c r="K103" s="11">
        <v>1.1999999999999999E-3</v>
      </c>
      <c r="L103" s="11">
        <f t="shared" si="4"/>
        <v>0.20356095972207142</v>
      </c>
      <c r="M103" s="16">
        <v>1</v>
      </c>
      <c r="N103" s="16">
        <v>1</v>
      </c>
      <c r="O103" s="16">
        <v>2</v>
      </c>
      <c r="P103" s="16">
        <v>1</v>
      </c>
      <c r="Q103" s="16">
        <v>1</v>
      </c>
      <c r="R103" s="16">
        <v>1</v>
      </c>
      <c r="S103" s="16">
        <v>1</v>
      </c>
      <c r="T103" s="16">
        <v>2</v>
      </c>
      <c r="U103" s="16">
        <v>1</v>
      </c>
      <c r="V103" s="16">
        <v>1</v>
      </c>
      <c r="W103" s="16">
        <v>1</v>
      </c>
      <c r="X103" s="29">
        <v>0.66700000000000004</v>
      </c>
      <c r="Y103" s="29">
        <v>34319151000</v>
      </c>
      <c r="Z103" s="15">
        <v>0</v>
      </c>
      <c r="AA103" s="15">
        <v>1</v>
      </c>
      <c r="AB103" s="13">
        <v>1</v>
      </c>
      <c r="AC103" s="14">
        <v>0.99939999999999996</v>
      </c>
      <c r="AD103" s="14">
        <v>0.47288750000000002</v>
      </c>
      <c r="AE103" s="42">
        <v>0.364838</v>
      </c>
      <c r="AF103" s="11">
        <f t="shared" si="5"/>
        <v>0</v>
      </c>
    </row>
    <row r="104" spans="1:32" ht="15.5">
      <c r="A104">
        <v>102</v>
      </c>
      <c r="B104">
        <v>103</v>
      </c>
      <c r="C104" s="25">
        <v>9</v>
      </c>
      <c r="D104" s="11">
        <v>2015</v>
      </c>
      <c r="E104" s="11">
        <v>0.01</v>
      </c>
      <c r="F104" s="12">
        <v>3.2000000000000001E-2</v>
      </c>
      <c r="G104" s="11">
        <v>0.91400000000000003</v>
      </c>
      <c r="H104" s="11">
        <v>0.92479999999999996</v>
      </c>
      <c r="I104" s="12">
        <v>4.9000000000000002E-2</v>
      </c>
      <c r="J104" s="11">
        <v>0.34300000000000003</v>
      </c>
      <c r="K104" s="11">
        <v>7.0000000000000001E-3</v>
      </c>
      <c r="L104" s="11">
        <f t="shared" si="4"/>
        <v>0.23512839960992526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29">
        <v>0.72899999999999998</v>
      </c>
      <c r="Y104" s="29">
        <v>19200000000</v>
      </c>
      <c r="Z104" s="15">
        <v>0</v>
      </c>
      <c r="AA104" s="15">
        <v>1</v>
      </c>
      <c r="AB104" s="13">
        <v>1</v>
      </c>
      <c r="AC104" s="14">
        <v>0.99970000000000003</v>
      </c>
      <c r="AD104" s="14">
        <v>0.45336133000000001</v>
      </c>
      <c r="AE104" s="42">
        <v>0.28795500000000002</v>
      </c>
      <c r="AF104" s="11">
        <f t="shared" si="5"/>
        <v>0</v>
      </c>
    </row>
    <row r="105" spans="1:32" ht="15.5">
      <c r="A105">
        <v>103</v>
      </c>
      <c r="B105">
        <v>104</v>
      </c>
      <c r="C105" s="25">
        <v>9</v>
      </c>
      <c r="D105" s="11">
        <v>2016</v>
      </c>
      <c r="E105" s="11">
        <v>1.0999999999999999E-2</v>
      </c>
      <c r="F105" s="12">
        <v>3.5000000000000003E-2</v>
      </c>
      <c r="G105" s="11">
        <v>0.90100000000000002</v>
      </c>
      <c r="H105" s="11">
        <v>0.92179999999999995</v>
      </c>
      <c r="I105" s="12">
        <v>4.8000000000000001E-2</v>
      </c>
      <c r="J105" s="11">
        <v>0.36699999999999999</v>
      </c>
      <c r="K105" s="11">
        <v>5.0000000000000001E-3</v>
      </c>
      <c r="L105" s="11">
        <f t="shared" si="4"/>
        <v>0.25221577853156801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6">
        <v>1</v>
      </c>
      <c r="U105" s="16">
        <v>1</v>
      </c>
      <c r="V105" s="16">
        <v>1</v>
      </c>
      <c r="W105" s="16">
        <v>1</v>
      </c>
      <c r="X105" s="41" t="s">
        <v>36</v>
      </c>
      <c r="Y105" s="29">
        <v>21500000000</v>
      </c>
      <c r="Z105" s="15">
        <v>0</v>
      </c>
      <c r="AA105" s="15">
        <v>1</v>
      </c>
      <c r="AB105" s="13">
        <v>1</v>
      </c>
      <c r="AC105" s="14">
        <v>0.99909999999999999</v>
      </c>
      <c r="AD105" s="14">
        <v>0.47499999999999998</v>
      </c>
      <c r="AE105" s="42">
        <v>0.285138</v>
      </c>
      <c r="AF105" s="11">
        <f t="shared" si="5"/>
        <v>0</v>
      </c>
    </row>
    <row r="106" spans="1:32" ht="15.5">
      <c r="A106">
        <v>104</v>
      </c>
      <c r="B106">
        <v>105</v>
      </c>
      <c r="C106" s="25">
        <v>9</v>
      </c>
      <c r="D106" s="11">
        <v>2017</v>
      </c>
      <c r="E106" s="11">
        <v>1.2E-2</v>
      </c>
      <c r="F106" s="12">
        <v>4.2999999999999997E-2</v>
      </c>
      <c r="G106" s="11">
        <v>0.88500000000000001</v>
      </c>
      <c r="H106" s="11">
        <v>0.92559999999999998</v>
      </c>
      <c r="I106" s="12">
        <v>4.2999999999999997E-2</v>
      </c>
      <c r="J106" s="11">
        <v>0.29389999999999999</v>
      </c>
      <c r="K106" s="11">
        <v>3.2000000000000002E-3</v>
      </c>
      <c r="L106" s="11">
        <f t="shared" si="4"/>
        <v>0.2160657183812989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41" t="s">
        <v>64</v>
      </c>
      <c r="Y106" s="29">
        <v>105777224</v>
      </c>
      <c r="Z106" s="15">
        <v>0</v>
      </c>
      <c r="AA106" s="15">
        <v>1</v>
      </c>
      <c r="AB106" s="13">
        <v>1</v>
      </c>
      <c r="AC106" s="14">
        <v>0.99990000000000001</v>
      </c>
      <c r="AD106" s="14">
        <v>0.48470000000000002</v>
      </c>
      <c r="AE106" s="42">
        <v>0.29723899999999998</v>
      </c>
      <c r="AF106" s="11">
        <f t="shared" si="5"/>
        <v>0</v>
      </c>
    </row>
    <row r="107" spans="1:32" ht="15.5">
      <c r="A107">
        <v>105</v>
      </c>
      <c r="B107">
        <v>106</v>
      </c>
      <c r="C107" s="25">
        <v>9</v>
      </c>
      <c r="D107" s="11">
        <v>2018</v>
      </c>
      <c r="E107" s="11">
        <v>1.2E-2</v>
      </c>
      <c r="F107" s="12">
        <v>0.05</v>
      </c>
      <c r="G107" s="11">
        <v>0.89</v>
      </c>
      <c r="H107" s="11">
        <v>0.874</v>
      </c>
      <c r="I107" s="12">
        <v>4.3999999999999997E-2</v>
      </c>
      <c r="J107" s="11">
        <v>0.24299999999999999</v>
      </c>
      <c r="K107" s="11">
        <v>3.5000000000000001E-3</v>
      </c>
      <c r="L107" s="11">
        <f t="shared" si="4"/>
        <v>0.19745403111739743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41" t="s">
        <v>68</v>
      </c>
      <c r="Y107" s="29">
        <v>123718361</v>
      </c>
      <c r="Z107" s="15">
        <v>0</v>
      </c>
      <c r="AA107" s="15">
        <v>1</v>
      </c>
      <c r="AB107" s="13">
        <v>1</v>
      </c>
      <c r="AC107" s="14">
        <v>0.99990000000000001</v>
      </c>
      <c r="AD107" s="14">
        <v>0.53620000000000001</v>
      </c>
      <c r="AE107" s="42">
        <v>0.34632099999999999</v>
      </c>
      <c r="AF107" s="11">
        <f t="shared" si="5"/>
        <v>0</v>
      </c>
    </row>
    <row r="108" spans="1:32" ht="15.5">
      <c r="A108">
        <v>106</v>
      </c>
      <c r="B108">
        <v>107</v>
      </c>
      <c r="C108" s="25">
        <v>9</v>
      </c>
      <c r="D108" s="11">
        <v>2019</v>
      </c>
      <c r="E108" s="11">
        <v>1.15E-2</v>
      </c>
      <c r="F108" s="12">
        <v>0.04</v>
      </c>
      <c r="G108" s="11">
        <v>0.91</v>
      </c>
      <c r="H108" s="11">
        <v>0.876</v>
      </c>
      <c r="I108" s="12">
        <v>4.2999999999999997E-2</v>
      </c>
      <c r="J108" s="11">
        <v>0.38300000000000001</v>
      </c>
      <c r="K108" s="11">
        <v>5.7999999999999996E-3</v>
      </c>
      <c r="L108" s="11">
        <f t="shared" si="4"/>
        <v>0.2664917959593705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  <c r="R108" s="16">
        <v>1</v>
      </c>
      <c r="S108" s="16">
        <v>1</v>
      </c>
      <c r="T108" s="16">
        <v>1</v>
      </c>
      <c r="U108" s="16">
        <v>1</v>
      </c>
      <c r="V108" s="16">
        <v>1</v>
      </c>
      <c r="W108" s="16">
        <v>1</v>
      </c>
      <c r="X108" s="41" t="s">
        <v>69</v>
      </c>
      <c r="Y108" s="29">
        <v>142363932</v>
      </c>
      <c r="Z108" s="15">
        <v>0</v>
      </c>
      <c r="AA108" s="15">
        <v>1</v>
      </c>
      <c r="AB108" s="13">
        <v>1</v>
      </c>
      <c r="AC108" s="14">
        <v>0.99990000000000001</v>
      </c>
      <c r="AD108" s="14">
        <v>0.60050000000000003</v>
      </c>
      <c r="AE108" s="18" t="s">
        <v>70</v>
      </c>
      <c r="AF108" s="11">
        <f t="shared" si="5"/>
        <v>0</v>
      </c>
    </row>
    <row r="109" spans="1:32" ht="15.5">
      <c r="A109">
        <v>107</v>
      </c>
      <c r="B109">
        <v>108</v>
      </c>
      <c r="C109" s="25">
        <v>9</v>
      </c>
      <c r="D109" s="11">
        <v>2020</v>
      </c>
      <c r="E109" s="11">
        <v>1.09E-2</v>
      </c>
      <c r="F109" s="11">
        <v>0</v>
      </c>
      <c r="G109" s="11">
        <v>0.81320000000000003</v>
      </c>
      <c r="H109" s="11">
        <v>0.86280000000000001</v>
      </c>
      <c r="I109" s="11">
        <v>0</v>
      </c>
      <c r="J109" s="11">
        <v>0.4526</v>
      </c>
      <c r="K109" s="11">
        <v>5.0000000000000001E-3</v>
      </c>
      <c r="L109" s="11">
        <f t="shared" si="4"/>
        <v>0.27572873289708505</v>
      </c>
      <c r="M109" s="13">
        <v>1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0.81632653061224492</v>
      </c>
      <c r="Y109" s="13">
        <v>0</v>
      </c>
      <c r="Z109" s="23">
        <v>0</v>
      </c>
      <c r="AA109" s="23">
        <v>0</v>
      </c>
      <c r="AB109" s="13">
        <v>0</v>
      </c>
      <c r="AC109" s="13">
        <v>0</v>
      </c>
      <c r="AD109" s="13">
        <v>0</v>
      </c>
      <c r="AE109" s="18">
        <v>0</v>
      </c>
      <c r="AF109" s="11">
        <f t="shared" si="5"/>
        <v>0</v>
      </c>
    </row>
    <row r="110" spans="1:32" ht="15.5">
      <c r="A110">
        <v>108</v>
      </c>
      <c r="B110">
        <v>109</v>
      </c>
      <c r="C110" s="25">
        <v>10</v>
      </c>
      <c r="D110" s="11">
        <v>2008</v>
      </c>
      <c r="E110" s="13">
        <v>1.14E-2</v>
      </c>
      <c r="F110" s="13">
        <v>8.2100000000000006E-2</v>
      </c>
      <c r="G110" s="13">
        <v>0.84960000000000002</v>
      </c>
      <c r="H110" s="11">
        <v>1.8784000000000001</v>
      </c>
      <c r="I110" s="11">
        <v>8.6E-3</v>
      </c>
      <c r="J110" s="11">
        <v>0.37190000000000001</v>
      </c>
      <c r="K110" s="11">
        <v>2.2700000000000001E-2</v>
      </c>
      <c r="L110" s="11">
        <f t="shared" si="4"/>
        <v>0.17231977314865304</v>
      </c>
      <c r="M110" s="5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3">
        <v>0</v>
      </c>
      <c r="X110" s="48">
        <v>0.1666667</v>
      </c>
      <c r="Y110" s="13">
        <v>0</v>
      </c>
      <c r="Z110" s="15">
        <v>1</v>
      </c>
      <c r="AA110" s="15">
        <v>1</v>
      </c>
      <c r="AB110" s="13">
        <v>1</v>
      </c>
      <c r="AC110" s="20">
        <v>0.99719999999999998</v>
      </c>
      <c r="AD110" s="20">
        <v>0.2044</v>
      </c>
      <c r="AE110" s="18" t="s">
        <v>71</v>
      </c>
      <c r="AF110" s="11">
        <f t="shared" si="5"/>
        <v>0</v>
      </c>
    </row>
    <row r="111" spans="1:32" ht="15.5">
      <c r="A111">
        <v>109</v>
      </c>
      <c r="B111">
        <v>110</v>
      </c>
      <c r="C111" s="25">
        <v>10</v>
      </c>
      <c r="D111" s="11">
        <v>2009</v>
      </c>
      <c r="E111" s="13">
        <v>5.3E-3</v>
      </c>
      <c r="F111" s="13">
        <v>3.3500000000000002E-2</v>
      </c>
      <c r="G111" s="13">
        <v>1.2094</v>
      </c>
      <c r="H111" s="11">
        <v>0.97499999999999998</v>
      </c>
      <c r="I111" s="11">
        <v>7.8E-2</v>
      </c>
      <c r="J111" s="11">
        <v>0.1794</v>
      </c>
      <c r="K111" s="11">
        <v>1.0699999999999999E-2</v>
      </c>
      <c r="L111" s="11">
        <f t="shared" si="4"/>
        <v>0.13493690492460481</v>
      </c>
      <c r="M111" s="5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55">
        <v>0</v>
      </c>
      <c r="X111" s="48">
        <v>0.18179999999999999</v>
      </c>
      <c r="Y111" s="13">
        <v>0</v>
      </c>
      <c r="Z111" s="15">
        <v>1</v>
      </c>
      <c r="AA111" s="15">
        <v>1</v>
      </c>
      <c r="AB111" s="13">
        <v>1</v>
      </c>
      <c r="AC111" s="20">
        <v>0.99980000000000002</v>
      </c>
      <c r="AD111" s="20">
        <v>0.25259999999999999</v>
      </c>
      <c r="AE111" s="18" t="s">
        <v>72</v>
      </c>
      <c r="AF111" s="11">
        <f t="shared" si="5"/>
        <v>0</v>
      </c>
    </row>
    <row r="112" spans="1:32" ht="15.5">
      <c r="A112">
        <v>110</v>
      </c>
      <c r="B112">
        <v>111</v>
      </c>
      <c r="C112" s="25">
        <v>10</v>
      </c>
      <c r="D112" s="11">
        <v>2010</v>
      </c>
      <c r="E112" s="13">
        <v>3.5000000000000001E-3</v>
      </c>
      <c r="F112" s="13">
        <v>1.2800000000000001E-2</v>
      </c>
      <c r="G112" s="13">
        <v>0.95820000000000005</v>
      </c>
      <c r="H112" s="11">
        <v>0.98770000000000002</v>
      </c>
      <c r="I112" s="11">
        <v>7.4999999999999997E-2</v>
      </c>
      <c r="J112" s="11">
        <v>0.20619999999999999</v>
      </c>
      <c r="K112" s="11">
        <v>2.1399999999999999E-2</v>
      </c>
      <c r="L112" s="11">
        <f t="shared" si="4"/>
        <v>0.15122248767346108</v>
      </c>
      <c r="M112" s="35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7">
        <v>0</v>
      </c>
      <c r="X112" s="48">
        <v>0.18179999999999999</v>
      </c>
      <c r="Y112" s="13">
        <v>0</v>
      </c>
      <c r="Z112" s="15">
        <v>0</v>
      </c>
      <c r="AA112" s="15">
        <v>1</v>
      </c>
      <c r="AB112" s="13">
        <v>0</v>
      </c>
      <c r="AC112" s="20">
        <v>0.99990000000000001</v>
      </c>
      <c r="AD112" s="20">
        <v>0.10050000000000001</v>
      </c>
      <c r="AE112" s="40">
        <v>5.0930999999999997E-2</v>
      </c>
      <c r="AF112" s="11">
        <f t="shared" si="5"/>
        <v>0</v>
      </c>
    </row>
    <row r="113" spans="1:32" ht="15.5">
      <c r="A113">
        <v>111</v>
      </c>
      <c r="B113">
        <v>112</v>
      </c>
      <c r="C113" s="25">
        <v>10</v>
      </c>
      <c r="D113" s="11">
        <v>2011</v>
      </c>
      <c r="E113" s="13">
        <v>2E-3</v>
      </c>
      <c r="F113" s="13">
        <v>1.1900000000000001E-2</v>
      </c>
      <c r="G113" s="13">
        <v>0.90549999999999997</v>
      </c>
      <c r="H113" s="11">
        <v>0.99560000000000004</v>
      </c>
      <c r="I113" s="11">
        <v>6.9900000000000004E-2</v>
      </c>
      <c r="J113" s="11">
        <v>0.1474</v>
      </c>
      <c r="K113" s="11">
        <v>2.12E-2</v>
      </c>
      <c r="L113" s="11">
        <f t="shared" si="4"/>
        <v>0.12027259012641107</v>
      </c>
      <c r="M113" s="13">
        <v>2</v>
      </c>
      <c r="N113" s="13">
        <v>2</v>
      </c>
      <c r="O113" s="13">
        <v>2</v>
      </c>
      <c r="P113" s="13">
        <v>2</v>
      </c>
      <c r="Q113" s="13">
        <v>2</v>
      </c>
      <c r="R113" s="13">
        <v>2</v>
      </c>
      <c r="S113" s="13">
        <v>2</v>
      </c>
      <c r="T113" s="13">
        <v>2</v>
      </c>
      <c r="U113" s="13">
        <v>2</v>
      </c>
      <c r="V113" s="13">
        <v>2</v>
      </c>
      <c r="W113" s="13">
        <v>2</v>
      </c>
      <c r="X113" s="48">
        <v>0.19009999999999999</v>
      </c>
      <c r="Y113" s="13">
        <v>0</v>
      </c>
      <c r="Z113" s="15">
        <v>0</v>
      </c>
      <c r="AA113" s="15">
        <v>1</v>
      </c>
      <c r="AB113" s="13">
        <v>1</v>
      </c>
      <c r="AC113" s="20">
        <v>0.99860000000000004</v>
      </c>
      <c r="AD113" s="20">
        <v>0.3306</v>
      </c>
      <c r="AE113" s="18" t="s">
        <v>73</v>
      </c>
      <c r="AF113" s="11">
        <f t="shared" si="5"/>
        <v>0</v>
      </c>
    </row>
    <row r="114" spans="1:32" ht="15.5">
      <c r="A114">
        <v>112</v>
      </c>
      <c r="B114">
        <v>113</v>
      </c>
      <c r="C114" s="25">
        <v>10</v>
      </c>
      <c r="D114" s="11">
        <v>2012</v>
      </c>
      <c r="E114" s="13">
        <v>1.1900000000000001E-2</v>
      </c>
      <c r="F114" s="13">
        <v>0.1041</v>
      </c>
      <c r="G114" s="13">
        <v>1.0096000000000001</v>
      </c>
      <c r="H114" s="11">
        <v>0.86629999999999996</v>
      </c>
      <c r="I114" s="11">
        <v>7.1499999999999994E-2</v>
      </c>
      <c r="J114" s="11">
        <v>0.1135</v>
      </c>
      <c r="K114" s="11">
        <v>1.84E-2</v>
      </c>
      <c r="L114" s="11">
        <f t="shared" si="4"/>
        <v>0.15889774586918648</v>
      </c>
      <c r="M114" s="13">
        <v>2</v>
      </c>
      <c r="N114" s="13">
        <v>2</v>
      </c>
      <c r="O114" s="13">
        <v>2</v>
      </c>
      <c r="P114" s="13">
        <v>2</v>
      </c>
      <c r="Q114" s="13">
        <v>2</v>
      </c>
      <c r="R114" s="13">
        <v>2</v>
      </c>
      <c r="S114" s="13">
        <v>2</v>
      </c>
      <c r="T114" s="13">
        <v>2</v>
      </c>
      <c r="U114" s="13">
        <v>2</v>
      </c>
      <c r="V114" s="13">
        <v>2</v>
      </c>
      <c r="W114" s="13">
        <v>2</v>
      </c>
      <c r="X114" s="48">
        <v>0.63300000000000001</v>
      </c>
      <c r="Y114" s="13">
        <v>0</v>
      </c>
      <c r="Z114" s="15">
        <v>0</v>
      </c>
      <c r="AA114" s="15">
        <v>1</v>
      </c>
      <c r="AB114" s="13">
        <v>1</v>
      </c>
      <c r="AC114" s="20">
        <v>0.99970000000000003</v>
      </c>
      <c r="AD114" s="20">
        <v>0.31940000000000002</v>
      </c>
      <c r="AE114" s="18" t="s">
        <v>74</v>
      </c>
      <c r="AF114" s="11">
        <f t="shared" si="5"/>
        <v>0</v>
      </c>
    </row>
    <row r="115" spans="1:32" ht="15.5">
      <c r="A115">
        <v>113</v>
      </c>
      <c r="B115">
        <v>114</v>
      </c>
      <c r="C115" s="25">
        <v>10</v>
      </c>
      <c r="D115" s="11">
        <v>2013</v>
      </c>
      <c r="E115" s="11">
        <v>1.15E-2</v>
      </c>
      <c r="F115" s="11">
        <v>0.10199999999999999</v>
      </c>
      <c r="G115" s="11">
        <v>1.0269999999999999</v>
      </c>
      <c r="H115" s="11">
        <v>0.9042</v>
      </c>
      <c r="I115" s="11">
        <v>6.2700000000000006E-2</v>
      </c>
      <c r="J115" s="11">
        <v>0.1449</v>
      </c>
      <c r="K115" s="11">
        <v>3.2599999999999997E-2</v>
      </c>
      <c r="L115" s="11">
        <f t="shared" si="4"/>
        <v>0.1635095223546186</v>
      </c>
      <c r="M115" s="13">
        <v>2</v>
      </c>
      <c r="N115" s="13">
        <v>2</v>
      </c>
      <c r="O115" s="13">
        <v>2</v>
      </c>
      <c r="P115" s="13">
        <v>2</v>
      </c>
      <c r="Q115" s="13">
        <v>2</v>
      </c>
      <c r="R115" s="13">
        <v>2</v>
      </c>
      <c r="S115" s="13">
        <v>2</v>
      </c>
      <c r="T115" s="13">
        <v>2</v>
      </c>
      <c r="U115" s="13">
        <v>2</v>
      </c>
      <c r="V115" s="13">
        <v>2</v>
      </c>
      <c r="W115" s="13">
        <v>2</v>
      </c>
      <c r="X115" s="19">
        <v>0.81632653061224492</v>
      </c>
      <c r="Y115" s="13">
        <v>0</v>
      </c>
      <c r="Z115" s="15">
        <v>0</v>
      </c>
      <c r="AA115" s="15">
        <v>1</v>
      </c>
      <c r="AB115" s="13">
        <v>1</v>
      </c>
      <c r="AC115" s="20">
        <v>0.99980000000000002</v>
      </c>
      <c r="AD115" s="20">
        <v>0.33298370999999999</v>
      </c>
      <c r="AE115" s="18" t="s">
        <v>75</v>
      </c>
      <c r="AF115" s="11">
        <f t="shared" si="5"/>
        <v>0</v>
      </c>
    </row>
    <row r="116" spans="1:32" ht="15.5">
      <c r="A116">
        <v>114</v>
      </c>
      <c r="B116">
        <v>115</v>
      </c>
      <c r="C116" s="25">
        <v>10</v>
      </c>
      <c r="D116" s="11">
        <v>2014</v>
      </c>
      <c r="E116" s="11">
        <v>8.0000000000000004E-4</v>
      </c>
      <c r="F116" s="12">
        <v>4.4000000000000003E-3</v>
      </c>
      <c r="G116" s="11">
        <v>0.93899999999999995</v>
      </c>
      <c r="H116" s="11">
        <v>0.99470000000000003</v>
      </c>
      <c r="I116" s="12">
        <v>6.0400000000000002E-2</v>
      </c>
      <c r="J116" s="11">
        <v>0.12889999999999999</v>
      </c>
      <c r="K116" s="11">
        <v>3.6499999999999998E-2</v>
      </c>
      <c r="L116" s="11">
        <f t="shared" si="4"/>
        <v>9.8720942036341491E-2</v>
      </c>
      <c r="M116" s="16">
        <v>2</v>
      </c>
      <c r="N116" s="16">
        <v>2</v>
      </c>
      <c r="O116" s="16">
        <v>2</v>
      </c>
      <c r="P116" s="16">
        <v>2</v>
      </c>
      <c r="Q116" s="16">
        <v>2</v>
      </c>
      <c r="R116" s="16">
        <v>2</v>
      </c>
      <c r="S116" s="16">
        <v>2</v>
      </c>
      <c r="T116" s="16">
        <v>2</v>
      </c>
      <c r="U116" s="16">
        <v>2</v>
      </c>
      <c r="V116" s="16">
        <v>2</v>
      </c>
      <c r="W116" s="16">
        <v>2</v>
      </c>
      <c r="X116" s="19">
        <v>0.81632653061224492</v>
      </c>
      <c r="Y116" s="13">
        <v>0</v>
      </c>
      <c r="Z116" s="15">
        <v>0</v>
      </c>
      <c r="AA116" s="15">
        <v>1</v>
      </c>
      <c r="AB116" s="13">
        <v>1</v>
      </c>
      <c r="AC116" s="14">
        <v>0.99909999999999999</v>
      </c>
      <c r="AD116" s="14">
        <v>0.39398607000000002</v>
      </c>
      <c r="AE116" s="40">
        <v>0.162388</v>
      </c>
      <c r="AF116" s="11">
        <f t="shared" si="5"/>
        <v>0</v>
      </c>
    </row>
    <row r="117" spans="1:32" ht="15.5">
      <c r="A117">
        <v>115</v>
      </c>
      <c r="B117">
        <v>116</v>
      </c>
      <c r="C117" s="25">
        <v>10</v>
      </c>
      <c r="D117" s="11">
        <v>2015</v>
      </c>
      <c r="E117" s="11">
        <v>7.6E-3</v>
      </c>
      <c r="F117" s="12">
        <v>6.2E-2</v>
      </c>
      <c r="G117" s="11">
        <v>0.84160000000000001</v>
      </c>
      <c r="H117" s="11">
        <v>0.93789999999999996</v>
      </c>
      <c r="I117" s="12">
        <v>6.6600000000000006E-2</v>
      </c>
      <c r="J117" s="11">
        <v>0.1394</v>
      </c>
      <c r="K117" s="11">
        <v>3.8899999999999997E-2</v>
      </c>
      <c r="L117" s="11">
        <f t="shared" si="4"/>
        <v>0.15156181258249007</v>
      </c>
      <c r="M117" s="16">
        <v>2</v>
      </c>
      <c r="N117" s="16">
        <v>2</v>
      </c>
      <c r="O117" s="16">
        <v>2</v>
      </c>
      <c r="P117" s="16">
        <v>2</v>
      </c>
      <c r="Q117" s="16">
        <v>2</v>
      </c>
      <c r="R117" s="16">
        <v>2</v>
      </c>
      <c r="S117" s="16">
        <v>2</v>
      </c>
      <c r="T117" s="16">
        <v>2</v>
      </c>
      <c r="U117" s="16">
        <v>2</v>
      </c>
      <c r="V117" s="16">
        <v>2</v>
      </c>
      <c r="W117" s="16">
        <v>2</v>
      </c>
      <c r="X117" s="19">
        <v>0.81632653061224492</v>
      </c>
      <c r="Y117" s="13">
        <v>0</v>
      </c>
      <c r="Z117" s="15">
        <v>0</v>
      </c>
      <c r="AA117" s="15">
        <v>1</v>
      </c>
      <c r="AB117" s="13">
        <v>1</v>
      </c>
      <c r="AC117" s="14">
        <v>0.99909999999999999</v>
      </c>
      <c r="AD117" s="14">
        <v>0.48099499000000001</v>
      </c>
      <c r="AE117" s="40">
        <v>1.0661700000000001</v>
      </c>
      <c r="AF117" s="11">
        <f t="shared" si="5"/>
        <v>0</v>
      </c>
    </row>
    <row r="118" spans="1:32" ht="15.5">
      <c r="A118">
        <v>116</v>
      </c>
      <c r="B118">
        <v>117</v>
      </c>
      <c r="C118" s="25">
        <v>10</v>
      </c>
      <c r="D118" s="11">
        <v>2016</v>
      </c>
      <c r="E118" s="11">
        <v>9.4999999999999998E-3</v>
      </c>
      <c r="F118" s="12">
        <v>7.3999999999999996E-2</v>
      </c>
      <c r="G118" s="11">
        <v>0.81420000000000003</v>
      </c>
      <c r="H118" s="11">
        <v>0.9133</v>
      </c>
      <c r="I118" s="12">
        <v>6.3700000000000007E-2</v>
      </c>
      <c r="J118" s="11">
        <v>0.20630000000000001</v>
      </c>
      <c r="K118" s="11">
        <v>3.1899999999999998E-2</v>
      </c>
      <c r="L118" s="11">
        <f t="shared" si="4"/>
        <v>0.20092076844378767</v>
      </c>
      <c r="M118" s="16">
        <v>2</v>
      </c>
      <c r="N118" s="16">
        <v>2</v>
      </c>
      <c r="O118" s="16">
        <v>2</v>
      </c>
      <c r="P118" s="16">
        <v>2</v>
      </c>
      <c r="Q118" s="16">
        <v>2</v>
      </c>
      <c r="R118" s="16">
        <v>2</v>
      </c>
      <c r="S118" s="16">
        <v>2</v>
      </c>
      <c r="T118" s="16">
        <v>2</v>
      </c>
      <c r="U118" s="16">
        <v>2</v>
      </c>
      <c r="V118" s="16">
        <v>2</v>
      </c>
      <c r="W118" s="16">
        <v>2</v>
      </c>
      <c r="X118" s="18" t="s">
        <v>64</v>
      </c>
      <c r="Y118" s="13">
        <v>0</v>
      </c>
      <c r="Z118" s="15">
        <v>0</v>
      </c>
      <c r="AA118" s="15">
        <v>1</v>
      </c>
      <c r="AB118" s="13">
        <v>1</v>
      </c>
      <c r="AC118" s="14">
        <v>0.99919999999999998</v>
      </c>
      <c r="AD118" s="14">
        <v>0.50900000000000001</v>
      </c>
      <c r="AE118" s="40">
        <v>1.552449</v>
      </c>
      <c r="AF118" s="11">
        <f t="shared" si="5"/>
        <v>0</v>
      </c>
    </row>
    <row r="119" spans="1:32" ht="15.5">
      <c r="A119">
        <v>117</v>
      </c>
      <c r="B119">
        <v>118</v>
      </c>
      <c r="C119" s="25">
        <v>10</v>
      </c>
      <c r="D119" s="11">
        <v>2017</v>
      </c>
      <c r="E119" s="11">
        <v>5.1000000000000004E-3</v>
      </c>
      <c r="F119" s="12">
        <v>4.1000000000000002E-2</v>
      </c>
      <c r="G119" s="11">
        <v>0.71870000000000001</v>
      </c>
      <c r="H119" s="11">
        <v>0.95240000000000002</v>
      </c>
      <c r="I119" s="12">
        <v>5.8400000000000001E-2</v>
      </c>
      <c r="J119" s="11">
        <v>0.2029</v>
      </c>
      <c r="K119" s="11">
        <v>4.7199999999999999E-2</v>
      </c>
      <c r="L119" s="11">
        <f t="shared" si="4"/>
        <v>0.17889774777396264</v>
      </c>
      <c r="M119" s="16">
        <v>2</v>
      </c>
      <c r="N119" s="16">
        <v>2</v>
      </c>
      <c r="O119" s="16">
        <v>2</v>
      </c>
      <c r="P119" s="16">
        <v>2</v>
      </c>
      <c r="Q119" s="16">
        <v>2</v>
      </c>
      <c r="R119" s="16">
        <v>2</v>
      </c>
      <c r="S119" s="16">
        <v>2</v>
      </c>
      <c r="T119" s="16">
        <v>2</v>
      </c>
      <c r="U119" s="16">
        <v>2</v>
      </c>
      <c r="V119" s="16">
        <v>2</v>
      </c>
      <c r="W119" s="16">
        <v>2</v>
      </c>
      <c r="X119" s="18" t="s">
        <v>40</v>
      </c>
      <c r="Y119" s="13">
        <v>0</v>
      </c>
      <c r="Z119" s="15">
        <v>0</v>
      </c>
      <c r="AA119" s="15">
        <v>1</v>
      </c>
      <c r="AB119" s="13">
        <v>1</v>
      </c>
      <c r="AC119" s="14">
        <v>0.99909999999999999</v>
      </c>
      <c r="AD119" s="14">
        <v>0.58899999999999997</v>
      </c>
      <c r="AE119" s="40">
        <v>0.19857</v>
      </c>
      <c r="AF119" s="11">
        <f t="shared" si="5"/>
        <v>0</v>
      </c>
    </row>
    <row r="120" spans="1:32" ht="15.5">
      <c r="A120">
        <v>118</v>
      </c>
      <c r="B120">
        <v>119</v>
      </c>
      <c r="C120" s="25">
        <v>10</v>
      </c>
      <c r="D120" s="11">
        <v>2018</v>
      </c>
      <c r="E120" s="11">
        <v>4.3E-3</v>
      </c>
      <c r="F120" s="12">
        <v>2.4899999999999999E-2</v>
      </c>
      <c r="G120" s="11">
        <v>0.75490000000000002</v>
      </c>
      <c r="H120" s="11">
        <v>0.95320000000000005</v>
      </c>
      <c r="I120" s="12">
        <v>5.3600000000000002E-2</v>
      </c>
      <c r="J120" s="11">
        <v>0.29720000000000002</v>
      </c>
      <c r="K120" s="11">
        <v>4.9700000000000001E-2</v>
      </c>
      <c r="L120" s="11">
        <f t="shared" si="4"/>
        <v>0.21617931505290705</v>
      </c>
      <c r="M120" s="16">
        <v>2</v>
      </c>
      <c r="N120" s="16">
        <v>2</v>
      </c>
      <c r="O120" s="16">
        <v>2</v>
      </c>
      <c r="P120" s="16">
        <v>2</v>
      </c>
      <c r="Q120" s="16">
        <v>2</v>
      </c>
      <c r="R120" s="16">
        <v>2</v>
      </c>
      <c r="S120" s="16">
        <v>2</v>
      </c>
      <c r="T120" s="16">
        <v>2</v>
      </c>
      <c r="U120" s="16">
        <v>2</v>
      </c>
      <c r="V120" s="16">
        <v>2</v>
      </c>
      <c r="W120" s="16">
        <v>2</v>
      </c>
      <c r="X120" s="18" t="s">
        <v>64</v>
      </c>
      <c r="Y120" s="13">
        <v>0</v>
      </c>
      <c r="Z120" s="15">
        <v>0</v>
      </c>
      <c r="AA120" s="15">
        <v>1</v>
      </c>
      <c r="AB120" s="13">
        <v>1</v>
      </c>
      <c r="AC120" s="14">
        <v>0.99880000000000002</v>
      </c>
      <c r="AD120" s="14">
        <v>0.61699999999999999</v>
      </c>
      <c r="AE120" s="40">
        <v>0.77333770000000002</v>
      </c>
      <c r="AF120" s="11">
        <f t="shared" si="5"/>
        <v>0</v>
      </c>
    </row>
    <row r="121" spans="1:32" ht="15.5">
      <c r="A121">
        <v>119</v>
      </c>
      <c r="B121">
        <v>120</v>
      </c>
      <c r="C121" s="25">
        <v>10</v>
      </c>
      <c r="D121" s="11">
        <v>2019</v>
      </c>
      <c r="E121" s="11">
        <v>3.0999999999999999E-3</v>
      </c>
      <c r="F121" s="12">
        <v>1.5699999999999999E-2</v>
      </c>
      <c r="G121" s="11">
        <v>0.80120000000000002</v>
      </c>
      <c r="H121" s="11">
        <v>0.96799999999999997</v>
      </c>
      <c r="I121" s="12">
        <v>5.7200000000000001E-2</v>
      </c>
      <c r="J121" s="11">
        <v>0.25259999999999999</v>
      </c>
      <c r="K121" s="11">
        <v>3.3799999999999997E-2</v>
      </c>
      <c r="L121" s="11">
        <f t="shared" si="4"/>
        <v>0.18225180255130338</v>
      </c>
      <c r="M121" s="16">
        <v>3</v>
      </c>
      <c r="N121" s="16">
        <v>3</v>
      </c>
      <c r="O121" s="16">
        <v>3</v>
      </c>
      <c r="P121" s="16">
        <v>3</v>
      </c>
      <c r="Q121" s="16">
        <v>3</v>
      </c>
      <c r="R121" s="16">
        <v>3</v>
      </c>
      <c r="S121" s="16">
        <v>3</v>
      </c>
      <c r="T121" s="16">
        <v>3</v>
      </c>
      <c r="U121" s="16">
        <v>3</v>
      </c>
      <c r="V121" s="16">
        <v>3</v>
      </c>
      <c r="W121" s="16">
        <v>3</v>
      </c>
      <c r="X121" s="18" t="s">
        <v>76</v>
      </c>
      <c r="Y121" s="13">
        <v>0</v>
      </c>
      <c r="Z121" s="15">
        <v>0</v>
      </c>
      <c r="AA121" s="15">
        <v>1</v>
      </c>
      <c r="AB121" s="13">
        <v>1</v>
      </c>
      <c r="AC121" s="14">
        <v>0.99829999999999997</v>
      </c>
      <c r="AD121" s="14">
        <v>0.63600000000000001</v>
      </c>
      <c r="AE121" s="18" t="s">
        <v>77</v>
      </c>
      <c r="AF121" s="11">
        <f t="shared" si="5"/>
        <v>0</v>
      </c>
    </row>
    <row r="122" spans="1:32" ht="15.5">
      <c r="A122">
        <v>120</v>
      </c>
      <c r="B122">
        <v>121</v>
      </c>
      <c r="C122" s="25">
        <v>10</v>
      </c>
      <c r="D122" s="11">
        <v>2020</v>
      </c>
      <c r="E122" s="11">
        <v>4.0000000000000002E-4</v>
      </c>
      <c r="F122" s="13">
        <v>0</v>
      </c>
      <c r="G122" s="13">
        <v>1.9673</v>
      </c>
      <c r="H122" s="11">
        <v>0.97729999999999995</v>
      </c>
      <c r="I122" s="11">
        <v>0</v>
      </c>
      <c r="J122" s="11">
        <v>0.22220000000000001</v>
      </c>
      <c r="K122" s="11">
        <v>4.9500000000000002E-2</v>
      </c>
      <c r="L122" s="11">
        <f t="shared" si="4"/>
        <v>7.4346214221301901E-2</v>
      </c>
      <c r="M122" s="13">
        <v>3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0.83673469387755106</v>
      </c>
      <c r="Y122" s="13">
        <v>0</v>
      </c>
      <c r="Z122" s="23">
        <v>0</v>
      </c>
      <c r="AA122" s="23">
        <v>0</v>
      </c>
      <c r="AB122" s="13">
        <v>0</v>
      </c>
      <c r="AC122" s="13">
        <v>0</v>
      </c>
      <c r="AD122" s="13">
        <v>0</v>
      </c>
      <c r="AE122" s="18">
        <v>0</v>
      </c>
      <c r="AF122" s="11">
        <f t="shared" si="5"/>
        <v>0</v>
      </c>
    </row>
    <row r="123" spans="1:32" ht="15.5">
      <c r="A123">
        <v>121</v>
      </c>
      <c r="B123">
        <v>122</v>
      </c>
      <c r="C123" s="25">
        <v>11</v>
      </c>
      <c r="D123" s="11">
        <v>2009</v>
      </c>
      <c r="E123" s="11">
        <v>5.1019133608846273E-3</v>
      </c>
      <c r="F123" s="13">
        <v>3.3500000000000002E-2</v>
      </c>
      <c r="G123" s="13">
        <v>1.2098</v>
      </c>
      <c r="H123" s="13">
        <v>0.97499999999999998</v>
      </c>
      <c r="I123" s="13">
        <v>7.8E-2</v>
      </c>
      <c r="J123" s="13">
        <v>0.1704</v>
      </c>
      <c r="K123" s="13">
        <v>1.0699999999999999E-2</v>
      </c>
      <c r="L123" s="11">
        <f t="shared" si="4"/>
        <v>0.13072280271504652</v>
      </c>
      <c r="M123" s="20">
        <v>2</v>
      </c>
      <c r="N123" s="56">
        <v>2</v>
      </c>
      <c r="O123" s="56">
        <v>2</v>
      </c>
      <c r="P123" s="56">
        <v>2</v>
      </c>
      <c r="Q123" s="56">
        <v>2</v>
      </c>
      <c r="R123" s="56">
        <v>2</v>
      </c>
      <c r="S123" s="56">
        <v>2</v>
      </c>
      <c r="T123" s="56">
        <v>3</v>
      </c>
      <c r="U123" s="56">
        <v>2</v>
      </c>
      <c r="V123" s="56">
        <v>3</v>
      </c>
      <c r="W123" s="56">
        <v>2</v>
      </c>
      <c r="X123" s="48">
        <v>0.124</v>
      </c>
      <c r="Y123" s="20">
        <v>278427453</v>
      </c>
      <c r="Z123" s="23">
        <v>1</v>
      </c>
      <c r="AA123" s="23">
        <v>1</v>
      </c>
      <c r="AB123" s="13">
        <v>0</v>
      </c>
      <c r="AC123" s="20">
        <v>0.95609999999999995</v>
      </c>
      <c r="AD123" s="20">
        <v>0.29010000000000002</v>
      </c>
      <c r="AE123" s="18" t="s">
        <v>78</v>
      </c>
      <c r="AF123" s="11">
        <f t="shared" si="5"/>
        <v>0</v>
      </c>
    </row>
    <row r="124" spans="1:32" ht="15.5">
      <c r="A124">
        <v>122</v>
      </c>
      <c r="B124">
        <v>123</v>
      </c>
      <c r="C124" s="25">
        <v>11</v>
      </c>
      <c r="D124" s="11">
        <v>2010</v>
      </c>
      <c r="E124" s="11">
        <v>1.597634672260284E-3</v>
      </c>
      <c r="F124" s="13">
        <v>1.2800000000000001E-2</v>
      </c>
      <c r="G124" s="13">
        <v>0.95820000000000005</v>
      </c>
      <c r="H124" s="13">
        <v>0.98770000000000002</v>
      </c>
      <c r="I124" s="13">
        <v>7.4999999999999997E-2</v>
      </c>
      <c r="J124" s="13">
        <v>0.20619999999999999</v>
      </c>
      <c r="K124" s="13">
        <v>2.1399999999999999E-2</v>
      </c>
      <c r="L124" s="11">
        <f t="shared" si="4"/>
        <v>0.15025549467405089</v>
      </c>
      <c r="M124" s="13">
        <v>1</v>
      </c>
      <c r="N124" s="13">
        <v>1</v>
      </c>
      <c r="O124" s="13">
        <v>2</v>
      </c>
      <c r="P124" s="13">
        <v>2</v>
      </c>
      <c r="Q124" s="13">
        <v>2</v>
      </c>
      <c r="R124" s="13">
        <v>2</v>
      </c>
      <c r="S124" s="13">
        <v>2</v>
      </c>
      <c r="T124" s="13">
        <v>2</v>
      </c>
      <c r="U124" s="13">
        <v>1</v>
      </c>
      <c r="V124" s="13">
        <v>1</v>
      </c>
      <c r="W124" s="13">
        <v>2</v>
      </c>
      <c r="X124" s="48">
        <v>0.19009999999999999</v>
      </c>
      <c r="Y124" s="20">
        <v>470000000</v>
      </c>
      <c r="Z124" s="23">
        <v>1</v>
      </c>
      <c r="AA124" s="23">
        <v>1</v>
      </c>
      <c r="AB124" s="16">
        <v>1</v>
      </c>
      <c r="AC124" s="20">
        <v>0.95920000000000005</v>
      </c>
      <c r="AD124" s="20">
        <v>0.24030000000000001</v>
      </c>
      <c r="AE124" s="18" t="s">
        <v>79</v>
      </c>
      <c r="AF124" s="11">
        <f t="shared" si="5"/>
        <v>0</v>
      </c>
    </row>
    <row r="125" spans="1:32" ht="15.5">
      <c r="A125">
        <v>123</v>
      </c>
      <c r="B125">
        <v>124</v>
      </c>
      <c r="C125" s="25">
        <v>11</v>
      </c>
      <c r="D125" s="11">
        <v>2011</v>
      </c>
      <c r="E125" s="11">
        <v>1.0404592591097992E-3</v>
      </c>
      <c r="F125" s="13">
        <v>1.1900000000000001E-2</v>
      </c>
      <c r="G125" s="13">
        <v>0.90549999999999997</v>
      </c>
      <c r="H125" s="13">
        <v>0.99250000000000005</v>
      </c>
      <c r="I125" s="13">
        <v>6.9900000000000004E-2</v>
      </c>
      <c r="J125" s="13">
        <v>0.1474</v>
      </c>
      <c r="K125" s="13">
        <v>2.12E-2</v>
      </c>
      <c r="L125" s="11">
        <f t="shared" si="4"/>
        <v>0.11996689206914848</v>
      </c>
      <c r="M125" s="13">
        <v>1</v>
      </c>
      <c r="N125" s="13">
        <v>1</v>
      </c>
      <c r="O125" s="13">
        <v>2</v>
      </c>
      <c r="P125" s="13">
        <v>2</v>
      </c>
      <c r="Q125" s="13">
        <v>2</v>
      </c>
      <c r="R125" s="13">
        <v>1</v>
      </c>
      <c r="S125" s="13">
        <v>2</v>
      </c>
      <c r="T125" s="13">
        <v>2</v>
      </c>
      <c r="U125" s="13">
        <v>1</v>
      </c>
      <c r="V125" s="13">
        <v>2</v>
      </c>
      <c r="W125" s="13">
        <v>2</v>
      </c>
      <c r="X125" s="48">
        <v>0.1983</v>
      </c>
      <c r="Y125" s="20">
        <v>1982000000</v>
      </c>
      <c r="Z125" s="23">
        <v>0</v>
      </c>
      <c r="AA125" s="23">
        <v>1</v>
      </c>
      <c r="AB125" s="16">
        <v>1</v>
      </c>
      <c r="AC125" s="20">
        <v>0.9667</v>
      </c>
      <c r="AD125" s="20">
        <v>0.19189999999999999</v>
      </c>
      <c r="AE125" s="18" t="s">
        <v>80</v>
      </c>
      <c r="AF125" s="11">
        <f t="shared" si="5"/>
        <v>0</v>
      </c>
    </row>
    <row r="126" spans="1:32" ht="15.5">
      <c r="A126">
        <v>124</v>
      </c>
      <c r="B126">
        <v>125</v>
      </c>
      <c r="C126" s="25">
        <v>11</v>
      </c>
      <c r="D126" s="11">
        <v>2012</v>
      </c>
      <c r="E126" s="11">
        <v>7.2317852177960626E-3</v>
      </c>
      <c r="F126" s="13">
        <v>0.1041</v>
      </c>
      <c r="G126" s="13">
        <v>1.0096000000000001</v>
      </c>
      <c r="H126" s="13">
        <v>0.86629999999999996</v>
      </c>
      <c r="I126" s="13">
        <v>7.1499999999999994E-2</v>
      </c>
      <c r="J126" s="13">
        <v>0.1135</v>
      </c>
      <c r="K126" s="13">
        <v>1.84E-2</v>
      </c>
      <c r="L126" s="11">
        <f t="shared" si="4"/>
        <v>0.15643339767607881</v>
      </c>
      <c r="M126" s="13">
        <v>1</v>
      </c>
      <c r="N126" s="13">
        <v>1</v>
      </c>
      <c r="O126" s="13">
        <v>2</v>
      </c>
      <c r="P126" s="13">
        <v>1</v>
      </c>
      <c r="Q126" s="13">
        <v>2</v>
      </c>
      <c r="R126" s="13">
        <v>1</v>
      </c>
      <c r="S126" s="13">
        <v>1</v>
      </c>
      <c r="T126" s="13">
        <v>2</v>
      </c>
      <c r="U126" s="13">
        <v>1</v>
      </c>
      <c r="V126" s="13">
        <v>2</v>
      </c>
      <c r="W126" s="13">
        <v>2</v>
      </c>
      <c r="X126" s="29">
        <v>0.66400000000000003</v>
      </c>
      <c r="Y126" s="29">
        <v>3363000000</v>
      </c>
      <c r="Z126" s="23">
        <v>0</v>
      </c>
      <c r="AA126" s="23">
        <v>1</v>
      </c>
      <c r="AB126" s="16">
        <v>1</v>
      </c>
      <c r="AC126" s="20">
        <v>0.97199999999999998</v>
      </c>
      <c r="AD126" s="13">
        <v>0.23260198000000001</v>
      </c>
      <c r="AE126" s="18">
        <v>0.28000000000000003</v>
      </c>
      <c r="AF126" s="11">
        <f t="shared" si="5"/>
        <v>0</v>
      </c>
    </row>
    <row r="127" spans="1:32" ht="15.5">
      <c r="A127">
        <v>125</v>
      </c>
      <c r="B127">
        <v>126</v>
      </c>
      <c r="C127" s="25">
        <v>11</v>
      </c>
      <c r="D127" s="11">
        <v>2013</v>
      </c>
      <c r="E127" s="11">
        <v>1.15E-2</v>
      </c>
      <c r="F127" s="11">
        <v>0.10199999999999999</v>
      </c>
      <c r="G127" s="11">
        <v>1.0269999999999999</v>
      </c>
      <c r="H127" s="11">
        <v>0.83230000000000004</v>
      </c>
      <c r="I127" s="11">
        <v>6.2700000000000006E-2</v>
      </c>
      <c r="J127" s="11">
        <v>0.1449</v>
      </c>
      <c r="K127" s="11">
        <v>4.0599999999999997E-2</v>
      </c>
      <c r="L127" s="11">
        <f t="shared" si="4"/>
        <v>0.16900889520501081</v>
      </c>
      <c r="M127" s="13">
        <v>1</v>
      </c>
      <c r="N127" s="13">
        <v>1</v>
      </c>
      <c r="O127" s="13">
        <v>2</v>
      </c>
      <c r="P127" s="13">
        <v>1</v>
      </c>
      <c r="Q127" s="13">
        <v>2</v>
      </c>
      <c r="R127" s="13">
        <v>1</v>
      </c>
      <c r="S127" s="13">
        <v>1</v>
      </c>
      <c r="T127" s="13">
        <v>2</v>
      </c>
      <c r="U127" s="13">
        <v>1</v>
      </c>
      <c r="V127" s="13">
        <v>1</v>
      </c>
      <c r="W127" s="13">
        <v>2</v>
      </c>
      <c r="X127" s="29">
        <v>0.66700000000000004</v>
      </c>
      <c r="Y127" s="29">
        <v>5615000000</v>
      </c>
      <c r="Z127" s="23">
        <v>0</v>
      </c>
      <c r="AA127" s="23">
        <v>1</v>
      </c>
      <c r="AB127" s="16">
        <v>1</v>
      </c>
      <c r="AC127" s="20">
        <v>0.9718</v>
      </c>
      <c r="AD127" s="13">
        <v>0.28526518000000001</v>
      </c>
      <c r="AE127" s="18">
        <v>0.28999999999999998</v>
      </c>
      <c r="AF127" s="11">
        <f t="shared" si="5"/>
        <v>0</v>
      </c>
    </row>
    <row r="128" spans="1:32" ht="15.5">
      <c r="A128">
        <v>126</v>
      </c>
      <c r="B128">
        <v>127</v>
      </c>
      <c r="C128" s="25">
        <v>11</v>
      </c>
      <c r="D128" s="11">
        <v>2014</v>
      </c>
      <c r="E128" s="11">
        <v>8.0000000000000004E-4</v>
      </c>
      <c r="F128" s="12">
        <v>4.3999999999999997E-2</v>
      </c>
      <c r="G128" s="11">
        <v>0.93899999999999995</v>
      </c>
      <c r="H128" s="11">
        <v>0.99139999999999995</v>
      </c>
      <c r="I128" s="12">
        <v>6.0400000000000002E-2</v>
      </c>
      <c r="J128" s="11">
        <v>0.12889999999999999</v>
      </c>
      <c r="K128" s="11">
        <v>4.5999999999999999E-2</v>
      </c>
      <c r="L128" s="11">
        <f t="shared" si="4"/>
        <v>0.11844768265533293</v>
      </c>
      <c r="M128" s="16">
        <v>2</v>
      </c>
      <c r="N128" s="16">
        <v>2</v>
      </c>
      <c r="O128" s="16">
        <v>2</v>
      </c>
      <c r="P128" s="16">
        <v>2</v>
      </c>
      <c r="Q128" s="16">
        <v>2</v>
      </c>
      <c r="R128" s="16">
        <v>2</v>
      </c>
      <c r="S128" s="16">
        <v>2</v>
      </c>
      <c r="T128" s="16">
        <v>2</v>
      </c>
      <c r="U128" s="16">
        <v>2</v>
      </c>
      <c r="V128" s="16">
        <v>2</v>
      </c>
      <c r="W128" s="16">
        <v>2</v>
      </c>
      <c r="X128" s="29">
        <v>0.68799999999999994</v>
      </c>
      <c r="Y128" s="29">
        <v>7080000000</v>
      </c>
      <c r="Z128" s="57">
        <v>0</v>
      </c>
      <c r="AA128" s="57">
        <v>1</v>
      </c>
      <c r="AB128" s="16">
        <v>1</v>
      </c>
      <c r="AC128" s="14">
        <v>0.99939999999999996</v>
      </c>
      <c r="AD128" s="14">
        <v>0.31668428999999998</v>
      </c>
      <c r="AE128" s="18">
        <v>0.22</v>
      </c>
      <c r="AF128" s="11">
        <f t="shared" si="5"/>
        <v>0</v>
      </c>
    </row>
    <row r="129" spans="1:32" ht="15.5">
      <c r="A129">
        <v>127</v>
      </c>
      <c r="B129">
        <v>128</v>
      </c>
      <c r="C129" s="25">
        <v>11</v>
      </c>
      <c r="D129" s="11">
        <v>2015</v>
      </c>
      <c r="E129" s="11">
        <v>7.7000000000000002E-3</v>
      </c>
      <c r="F129" s="12">
        <v>6.2E-2</v>
      </c>
      <c r="G129" s="11">
        <v>0.84160000000000001</v>
      </c>
      <c r="H129" s="11">
        <v>0.93789999999999996</v>
      </c>
      <c r="I129" s="12">
        <v>6.6600000000000006E-2</v>
      </c>
      <c r="J129" s="11">
        <v>0.1394</v>
      </c>
      <c r="K129" s="11">
        <v>4.8599999999999997E-2</v>
      </c>
      <c r="L129" s="11">
        <f t="shared" si="4"/>
        <v>0.15081231880094087</v>
      </c>
      <c r="M129" s="16">
        <v>2</v>
      </c>
      <c r="N129" s="16">
        <v>2</v>
      </c>
      <c r="O129" s="16">
        <v>2</v>
      </c>
      <c r="P129" s="16">
        <v>2</v>
      </c>
      <c r="Q129" s="16">
        <v>2</v>
      </c>
      <c r="R129" s="16">
        <v>2</v>
      </c>
      <c r="S129" s="16">
        <v>2</v>
      </c>
      <c r="T129" s="16">
        <v>2</v>
      </c>
      <c r="U129" s="16">
        <v>2</v>
      </c>
      <c r="V129" s="16">
        <v>2</v>
      </c>
      <c r="W129" s="16">
        <v>2</v>
      </c>
      <c r="X129" s="29">
        <v>0.77</v>
      </c>
      <c r="Y129" s="29">
        <v>4242000000</v>
      </c>
      <c r="Z129" s="39">
        <v>0</v>
      </c>
      <c r="AA129" s="58">
        <v>1</v>
      </c>
      <c r="AB129" s="16">
        <v>1</v>
      </c>
      <c r="AC129" s="14">
        <v>0.99939999999999996</v>
      </c>
      <c r="AD129" s="14">
        <v>0.37254766</v>
      </c>
      <c r="AE129" s="18">
        <v>0.25</v>
      </c>
      <c r="AF129" s="11">
        <f t="shared" si="5"/>
        <v>0</v>
      </c>
    </row>
    <row r="130" spans="1:32" ht="15.5">
      <c r="A130">
        <v>128</v>
      </c>
      <c r="B130">
        <v>129</v>
      </c>
      <c r="C130" s="25">
        <v>11</v>
      </c>
      <c r="D130" s="11">
        <v>2016</v>
      </c>
      <c r="E130" s="11">
        <v>9.4999999999999998E-3</v>
      </c>
      <c r="F130" s="12">
        <v>7.3999999999999996E-2</v>
      </c>
      <c r="G130" s="11">
        <v>0.81420000000000003</v>
      </c>
      <c r="H130" s="11">
        <v>0.9133</v>
      </c>
      <c r="I130" s="12">
        <v>6.3700000000000007E-2</v>
      </c>
      <c r="J130" s="11">
        <v>0.20630000000000001</v>
      </c>
      <c r="K130" s="11">
        <v>4.5699999999999998E-2</v>
      </c>
      <c r="L130" s="11">
        <f t="shared" si="4"/>
        <v>0.19935709451838485</v>
      </c>
      <c r="M130" s="16">
        <v>2</v>
      </c>
      <c r="N130" s="16">
        <v>2</v>
      </c>
      <c r="O130" s="16">
        <v>2</v>
      </c>
      <c r="P130" s="16">
        <v>2</v>
      </c>
      <c r="Q130" s="16">
        <v>2</v>
      </c>
      <c r="R130" s="16">
        <v>2</v>
      </c>
      <c r="S130" s="16">
        <v>2</v>
      </c>
      <c r="T130" s="16">
        <v>2</v>
      </c>
      <c r="U130" s="16">
        <v>2</v>
      </c>
      <c r="V130" s="16">
        <v>2</v>
      </c>
      <c r="W130" s="16">
        <v>2</v>
      </c>
      <c r="X130" s="41" t="s">
        <v>37</v>
      </c>
      <c r="Y130" s="29">
        <v>6998000000</v>
      </c>
      <c r="Z130" s="57">
        <v>0</v>
      </c>
      <c r="AA130" s="57">
        <v>1</v>
      </c>
      <c r="AB130" s="16">
        <v>1</v>
      </c>
      <c r="AC130" s="14">
        <v>0.99990000000000001</v>
      </c>
      <c r="AD130" s="14">
        <v>0.35699999999999998</v>
      </c>
      <c r="AE130" s="18">
        <v>0.26</v>
      </c>
      <c r="AF130" s="11">
        <f t="shared" ref="AF130:AF156" si="6">IF(L130&gt;1,1,0)</f>
        <v>0</v>
      </c>
    </row>
    <row r="131" spans="1:32" ht="15.5">
      <c r="A131">
        <v>129</v>
      </c>
      <c r="B131">
        <v>130</v>
      </c>
      <c r="C131" s="25">
        <v>11</v>
      </c>
      <c r="D131" s="11">
        <v>2017</v>
      </c>
      <c r="E131" s="11">
        <v>5.1000000000000004E-3</v>
      </c>
      <c r="F131" s="12">
        <v>4.1000000000000002E-2</v>
      </c>
      <c r="G131" s="11">
        <v>0.71870000000000001</v>
      </c>
      <c r="H131" s="11">
        <v>0.95240000000000002</v>
      </c>
      <c r="I131" s="12">
        <v>5.8400000000000001E-2</v>
      </c>
      <c r="J131" s="11">
        <v>0.2029</v>
      </c>
      <c r="K131" s="11">
        <v>4.7199999999999999E-2</v>
      </c>
      <c r="L131" s="11">
        <f t="shared" ref="L131:L156" si="7">(E131+F131+I131+J131)/(G131+H131+K131)</f>
        <v>0.17889774777396264</v>
      </c>
      <c r="M131" s="16">
        <v>2</v>
      </c>
      <c r="N131" s="16">
        <v>2</v>
      </c>
      <c r="O131" s="16">
        <v>2</v>
      </c>
      <c r="P131" s="16">
        <v>2</v>
      </c>
      <c r="Q131" s="16">
        <v>2</v>
      </c>
      <c r="R131" s="16">
        <v>2</v>
      </c>
      <c r="S131" s="16">
        <v>2</v>
      </c>
      <c r="T131" s="16">
        <v>2</v>
      </c>
      <c r="U131" s="16">
        <v>2</v>
      </c>
      <c r="V131" s="16">
        <v>2</v>
      </c>
      <c r="W131" s="16">
        <v>2</v>
      </c>
      <c r="X131" s="41" t="s">
        <v>36</v>
      </c>
      <c r="Y131" s="29">
        <v>8933000000</v>
      </c>
      <c r="Z131" s="57">
        <v>0</v>
      </c>
      <c r="AA131" s="57">
        <v>1</v>
      </c>
      <c r="AB131" s="16">
        <v>1</v>
      </c>
      <c r="AC131" s="14">
        <v>0.99980000000000002</v>
      </c>
      <c r="AD131" s="14">
        <v>0.33800000000000002</v>
      </c>
      <c r="AE131" s="18">
        <v>0.24</v>
      </c>
      <c r="AF131" s="11">
        <f t="shared" si="6"/>
        <v>0</v>
      </c>
    </row>
    <row r="132" spans="1:32" ht="15.5">
      <c r="A132">
        <v>130</v>
      </c>
      <c r="B132">
        <v>131</v>
      </c>
      <c r="C132" s="25">
        <v>11</v>
      </c>
      <c r="D132" s="11">
        <v>2018</v>
      </c>
      <c r="E132" s="11">
        <v>4.3E-3</v>
      </c>
      <c r="F132" s="12">
        <v>2.4899999999999999E-2</v>
      </c>
      <c r="G132" s="11">
        <v>0.74490000000000001</v>
      </c>
      <c r="H132" s="11">
        <v>0.95320000000000005</v>
      </c>
      <c r="I132" s="12">
        <v>5.3600000000000002E-2</v>
      </c>
      <c r="J132" s="11">
        <v>0.29720000000000002</v>
      </c>
      <c r="K132" s="11">
        <v>4.9700000000000001E-2</v>
      </c>
      <c r="L132" s="11">
        <f t="shared" si="7"/>
        <v>0.21741618034100008</v>
      </c>
      <c r="M132" s="16">
        <v>2</v>
      </c>
      <c r="N132" s="16">
        <v>2</v>
      </c>
      <c r="O132" s="16">
        <v>2</v>
      </c>
      <c r="P132" s="16">
        <v>2</v>
      </c>
      <c r="Q132" s="16">
        <v>2</v>
      </c>
      <c r="R132" s="16">
        <v>2</v>
      </c>
      <c r="S132" s="16">
        <v>2</v>
      </c>
      <c r="T132" s="16">
        <v>2</v>
      </c>
      <c r="U132" s="16">
        <v>2</v>
      </c>
      <c r="V132" s="16">
        <v>2</v>
      </c>
      <c r="W132" s="16">
        <v>2</v>
      </c>
      <c r="X132" s="41" t="s">
        <v>53</v>
      </c>
      <c r="Y132" s="29">
        <v>7051000000</v>
      </c>
      <c r="Z132" s="57">
        <v>0</v>
      </c>
      <c r="AA132" s="57">
        <v>1</v>
      </c>
      <c r="AB132" s="16">
        <v>1</v>
      </c>
      <c r="AC132" s="14">
        <v>0.99970000000000003</v>
      </c>
      <c r="AD132" s="14">
        <v>0.36</v>
      </c>
      <c r="AE132" s="18">
        <v>0.19</v>
      </c>
      <c r="AF132" s="11">
        <f t="shared" si="6"/>
        <v>0</v>
      </c>
    </row>
    <row r="133" spans="1:32" ht="15.5">
      <c r="A133">
        <v>131</v>
      </c>
      <c r="B133">
        <v>132</v>
      </c>
      <c r="C133" s="25">
        <v>11</v>
      </c>
      <c r="D133" s="11">
        <v>2019</v>
      </c>
      <c r="E133" s="11">
        <v>3.0999999999999999E-3</v>
      </c>
      <c r="F133" s="12">
        <v>1.5699999999999999E-2</v>
      </c>
      <c r="G133" s="11">
        <v>0.80120000000000002</v>
      </c>
      <c r="H133" s="11">
        <v>0.96799999999999997</v>
      </c>
      <c r="I133" s="12">
        <v>5.7200000000000001E-2</v>
      </c>
      <c r="J133" s="11">
        <v>0.25259999999999999</v>
      </c>
      <c r="K133" s="11">
        <v>3.3799999999999997E-2</v>
      </c>
      <c r="L133" s="11">
        <f t="shared" si="7"/>
        <v>0.18225180255130338</v>
      </c>
      <c r="M133" s="16">
        <v>2</v>
      </c>
      <c r="N133" s="16">
        <v>2</v>
      </c>
      <c r="O133" s="16">
        <v>2</v>
      </c>
      <c r="P133" s="16">
        <v>2</v>
      </c>
      <c r="Q133" s="16">
        <v>2</v>
      </c>
      <c r="R133" s="16">
        <v>2</v>
      </c>
      <c r="S133" s="16">
        <v>2</v>
      </c>
      <c r="T133" s="16">
        <v>2</v>
      </c>
      <c r="U133" s="16">
        <v>2</v>
      </c>
      <c r="V133" s="16">
        <v>2</v>
      </c>
      <c r="W133" s="16">
        <v>2</v>
      </c>
      <c r="X133" s="41" t="s">
        <v>37</v>
      </c>
      <c r="Y133" s="29">
        <v>6674000000</v>
      </c>
      <c r="Z133" s="57">
        <v>0</v>
      </c>
      <c r="AA133" s="57">
        <v>1</v>
      </c>
      <c r="AB133" s="16">
        <v>1</v>
      </c>
      <c r="AC133" s="14">
        <v>0.99950000000000006</v>
      </c>
      <c r="AD133" s="14">
        <v>0.41699999999999998</v>
      </c>
      <c r="AE133" s="18">
        <v>0.2</v>
      </c>
      <c r="AF133" s="11">
        <f t="shared" si="6"/>
        <v>0</v>
      </c>
    </row>
    <row r="134" spans="1:32" ht="15.5">
      <c r="A134">
        <v>132</v>
      </c>
      <c r="B134">
        <v>133</v>
      </c>
      <c r="C134" s="25">
        <v>11</v>
      </c>
      <c r="D134" s="11">
        <v>2020</v>
      </c>
      <c r="E134" s="11">
        <v>8.0999999999999996E-3</v>
      </c>
      <c r="F134" s="11">
        <v>0</v>
      </c>
      <c r="G134" s="11">
        <v>0.80989999999999995</v>
      </c>
      <c r="H134" s="11">
        <v>0.91010000000000002</v>
      </c>
      <c r="I134" s="11">
        <v>0</v>
      </c>
      <c r="J134" s="11">
        <v>0.19040000000000001</v>
      </c>
      <c r="K134" s="11">
        <v>1.77E-2</v>
      </c>
      <c r="L134" s="11">
        <f t="shared" si="7"/>
        <v>0.11423145537204352</v>
      </c>
      <c r="M134" s="13">
        <v>2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0.83673469387755106</v>
      </c>
      <c r="Y134" s="13">
        <v>0</v>
      </c>
      <c r="Z134" s="23">
        <v>0</v>
      </c>
      <c r="AA134" s="23">
        <v>0</v>
      </c>
      <c r="AB134" s="13">
        <v>0</v>
      </c>
      <c r="AC134" s="13">
        <v>0</v>
      </c>
      <c r="AD134" s="13">
        <v>0</v>
      </c>
      <c r="AE134" s="43">
        <v>0</v>
      </c>
      <c r="AF134" s="11">
        <f t="shared" si="6"/>
        <v>0</v>
      </c>
    </row>
    <row r="135" spans="1:32" ht="15.5">
      <c r="A135">
        <v>133</v>
      </c>
      <c r="B135">
        <v>134</v>
      </c>
      <c r="C135" s="25">
        <v>12</v>
      </c>
      <c r="D135" s="11">
        <v>2010</v>
      </c>
      <c r="E135" s="13">
        <v>1.09E-2</v>
      </c>
      <c r="F135" s="13">
        <v>2.41E-2</v>
      </c>
      <c r="G135" s="13">
        <v>0.16930000000000001</v>
      </c>
      <c r="H135" s="11">
        <v>0.83750000000000002</v>
      </c>
      <c r="I135" s="11">
        <v>6.8199999999999997E-2</v>
      </c>
      <c r="J135" s="11">
        <v>1.9514</v>
      </c>
      <c r="K135" s="11">
        <v>0</v>
      </c>
      <c r="L135" s="11">
        <f t="shared" si="7"/>
        <v>2.0407230830353593</v>
      </c>
      <c r="M135" s="13">
        <v>1.75</v>
      </c>
      <c r="N135" s="13">
        <v>1.75</v>
      </c>
      <c r="O135" s="13">
        <v>1.75</v>
      </c>
      <c r="P135" s="13">
        <v>1.75</v>
      </c>
      <c r="Q135" s="13">
        <v>1.75</v>
      </c>
      <c r="R135" s="13">
        <v>1.75</v>
      </c>
      <c r="S135" s="13">
        <v>1.75</v>
      </c>
      <c r="T135" s="13">
        <v>1.75</v>
      </c>
      <c r="U135" s="13">
        <v>1.75</v>
      </c>
      <c r="V135" s="13">
        <v>1.75</v>
      </c>
      <c r="W135" s="13">
        <v>1.75</v>
      </c>
      <c r="X135" s="48">
        <v>0.22916666699999999</v>
      </c>
      <c r="Y135" s="13">
        <v>1760267</v>
      </c>
      <c r="Z135" s="15">
        <v>0</v>
      </c>
      <c r="AA135" s="15">
        <v>1</v>
      </c>
      <c r="AB135" s="13">
        <v>1</v>
      </c>
      <c r="AC135" s="20">
        <v>0.98109999999999997</v>
      </c>
      <c r="AD135" s="13">
        <v>2.9000000000000001E-2</v>
      </c>
      <c r="AE135" s="43">
        <v>0.32329999999999998</v>
      </c>
      <c r="AF135" s="11">
        <f t="shared" si="6"/>
        <v>1</v>
      </c>
    </row>
    <row r="136" spans="1:32" ht="15.5">
      <c r="A136">
        <v>134</v>
      </c>
      <c r="B136">
        <v>135</v>
      </c>
      <c r="C136" s="25">
        <v>12</v>
      </c>
      <c r="D136" s="11">
        <v>2011</v>
      </c>
      <c r="E136" s="13">
        <v>6.93E-2</v>
      </c>
      <c r="F136" s="13">
        <v>0.18690000000000001</v>
      </c>
      <c r="G136" s="13">
        <v>0.46079999999999999</v>
      </c>
      <c r="H136" s="11">
        <v>0.86399999999999999</v>
      </c>
      <c r="I136" s="11">
        <v>2.12E-2</v>
      </c>
      <c r="J136" s="11">
        <v>0.45200000000000001</v>
      </c>
      <c r="K136" s="11">
        <v>1.9400000000000001E-2</v>
      </c>
      <c r="L136" s="11">
        <f t="shared" si="7"/>
        <v>0.54262758518077669</v>
      </c>
      <c r="M136" s="13">
        <v>1.75</v>
      </c>
      <c r="N136" s="13">
        <v>1.75</v>
      </c>
      <c r="O136" s="13">
        <v>1.75</v>
      </c>
      <c r="P136" s="13">
        <v>1.75</v>
      </c>
      <c r="Q136" s="13">
        <v>1.75</v>
      </c>
      <c r="R136" s="13">
        <v>1.75</v>
      </c>
      <c r="S136" s="13">
        <v>1.75</v>
      </c>
      <c r="T136" s="13">
        <v>1.75</v>
      </c>
      <c r="U136" s="13">
        <v>1.75</v>
      </c>
      <c r="V136" s="13">
        <v>1.75</v>
      </c>
      <c r="W136" s="13">
        <v>1.75</v>
      </c>
      <c r="X136" s="48">
        <v>0.375</v>
      </c>
      <c r="Y136" s="13">
        <v>24639229</v>
      </c>
      <c r="Z136" s="15">
        <v>1</v>
      </c>
      <c r="AA136" s="15">
        <v>1</v>
      </c>
      <c r="AB136" s="13">
        <v>1</v>
      </c>
      <c r="AC136" s="20">
        <v>0.9859</v>
      </c>
      <c r="AD136" s="13">
        <v>8.5999999999999993E-2</v>
      </c>
      <c r="AE136" s="43">
        <v>0.44441000000000003</v>
      </c>
      <c r="AF136" s="11">
        <f t="shared" si="6"/>
        <v>0</v>
      </c>
    </row>
    <row r="137" spans="1:32" ht="15.5">
      <c r="A137">
        <v>135</v>
      </c>
      <c r="B137">
        <v>136</v>
      </c>
      <c r="C137" s="25">
        <v>12</v>
      </c>
      <c r="D137" s="11">
        <v>2012</v>
      </c>
      <c r="E137" s="13">
        <v>1.43E-2</v>
      </c>
      <c r="F137" s="13">
        <v>9.2399999999999996E-2</v>
      </c>
      <c r="G137" s="13">
        <v>0.73770000000000002</v>
      </c>
      <c r="H137" s="11">
        <v>0.879</v>
      </c>
      <c r="I137" s="11">
        <v>2.3599999999999999E-2</v>
      </c>
      <c r="J137" s="11">
        <v>0.28079999999999999</v>
      </c>
      <c r="K137" s="11">
        <v>2.41E-2</v>
      </c>
      <c r="L137" s="11">
        <f t="shared" si="7"/>
        <v>0.2505485129205266</v>
      </c>
      <c r="M137" s="13">
        <v>1.75</v>
      </c>
      <c r="N137" s="13">
        <v>1.75</v>
      </c>
      <c r="O137" s="13">
        <v>1.75</v>
      </c>
      <c r="P137" s="13">
        <v>1.75</v>
      </c>
      <c r="Q137" s="13">
        <v>1.75</v>
      </c>
      <c r="R137" s="13">
        <v>1.75</v>
      </c>
      <c r="S137" s="13">
        <v>1.75</v>
      </c>
      <c r="T137" s="13">
        <v>1.75</v>
      </c>
      <c r="U137" s="13">
        <v>1.75</v>
      </c>
      <c r="V137" s="13">
        <v>1.75</v>
      </c>
      <c r="W137" s="13">
        <v>1.75</v>
      </c>
      <c r="X137" s="48">
        <v>0.45</v>
      </c>
      <c r="Y137" s="13">
        <v>36000000</v>
      </c>
      <c r="Z137" s="15">
        <v>0</v>
      </c>
      <c r="AA137" s="15">
        <v>1</v>
      </c>
      <c r="AB137" s="13">
        <v>1</v>
      </c>
      <c r="AC137" s="20">
        <v>0.99009999999999998</v>
      </c>
      <c r="AD137" s="13">
        <v>3.3399999999999999E-2</v>
      </c>
      <c r="AE137" s="43">
        <v>0.41310400000000003</v>
      </c>
      <c r="AF137" s="11">
        <f t="shared" si="6"/>
        <v>0</v>
      </c>
    </row>
    <row r="138" spans="1:32" ht="15.5">
      <c r="A138">
        <v>136</v>
      </c>
      <c r="B138">
        <v>137</v>
      </c>
      <c r="C138" s="25">
        <v>12</v>
      </c>
      <c r="D138" s="11">
        <v>2013</v>
      </c>
      <c r="E138" s="11">
        <v>5.0000000000000001E-3</v>
      </c>
      <c r="F138" s="11">
        <v>3.6999999999999998E-2</v>
      </c>
      <c r="G138" s="11">
        <v>0.84650000000000003</v>
      </c>
      <c r="H138" s="11">
        <v>0.91949999999999998</v>
      </c>
      <c r="I138" s="11">
        <v>2.9600000000000001E-2</v>
      </c>
      <c r="J138" s="11">
        <v>0.184</v>
      </c>
      <c r="K138" s="11">
        <v>3.3099999999999997E-2</v>
      </c>
      <c r="L138" s="11">
        <f t="shared" si="7"/>
        <v>0.14207103551775888</v>
      </c>
      <c r="M138" s="13">
        <v>1</v>
      </c>
      <c r="N138" s="13">
        <v>1</v>
      </c>
      <c r="O138" s="13">
        <v>1.75</v>
      </c>
      <c r="P138" s="13">
        <v>1.75</v>
      </c>
      <c r="Q138" s="13">
        <v>1.75</v>
      </c>
      <c r="R138" s="13">
        <v>1.75</v>
      </c>
      <c r="S138" s="13">
        <v>1</v>
      </c>
      <c r="T138" s="13">
        <v>1.75</v>
      </c>
      <c r="U138" s="13">
        <v>1</v>
      </c>
      <c r="V138" s="13">
        <v>1.75</v>
      </c>
      <c r="W138" s="13">
        <v>1.75</v>
      </c>
      <c r="X138" s="19">
        <v>0.51020408163265307</v>
      </c>
      <c r="Y138" s="13">
        <v>33488150</v>
      </c>
      <c r="Z138" s="15">
        <v>0</v>
      </c>
      <c r="AA138" s="15">
        <v>1</v>
      </c>
      <c r="AB138" s="13">
        <v>1</v>
      </c>
      <c r="AC138" s="20">
        <v>0.99990000000000001</v>
      </c>
      <c r="AD138" s="13">
        <v>9.2700000000000005E-2</v>
      </c>
      <c r="AE138" s="43">
        <v>0.18218999999999999</v>
      </c>
      <c r="AF138" s="11">
        <f t="shared" si="6"/>
        <v>0</v>
      </c>
    </row>
    <row r="139" spans="1:32" ht="15.5">
      <c r="A139">
        <v>137</v>
      </c>
      <c r="B139">
        <v>138</v>
      </c>
      <c r="C139" s="25">
        <v>12</v>
      </c>
      <c r="D139" s="11">
        <v>2014</v>
      </c>
      <c r="E139" s="11">
        <v>1.8700000000000001E-2</v>
      </c>
      <c r="F139" s="12">
        <v>0.17610000000000001</v>
      </c>
      <c r="G139" s="11">
        <v>0.95909999999999995</v>
      </c>
      <c r="H139" s="11">
        <v>1.4331</v>
      </c>
      <c r="I139" s="12">
        <v>3.3399999999999999E-2</v>
      </c>
      <c r="J139" s="11">
        <v>0.1527</v>
      </c>
      <c r="K139" s="11">
        <v>4.7399999999999998E-2</v>
      </c>
      <c r="L139" s="11">
        <f t="shared" si="7"/>
        <v>0.1561321528119364</v>
      </c>
      <c r="M139" s="13">
        <v>1</v>
      </c>
      <c r="N139" s="13">
        <v>1.75</v>
      </c>
      <c r="O139" s="13">
        <v>1.75</v>
      </c>
      <c r="P139" s="13">
        <v>1.75</v>
      </c>
      <c r="Q139" s="13">
        <v>1.75</v>
      </c>
      <c r="R139" s="13">
        <v>1.75</v>
      </c>
      <c r="S139" s="13">
        <v>1.75</v>
      </c>
      <c r="T139" s="13">
        <v>1.75</v>
      </c>
      <c r="U139" s="13">
        <v>1.75</v>
      </c>
      <c r="V139" s="13">
        <v>1.75</v>
      </c>
      <c r="W139" s="13">
        <v>1.75</v>
      </c>
      <c r="X139" s="19">
        <v>0.51020408163265307</v>
      </c>
      <c r="Y139" s="13">
        <v>83000000</v>
      </c>
      <c r="Z139" s="15">
        <v>0</v>
      </c>
      <c r="AA139" s="15">
        <v>1</v>
      </c>
      <c r="AB139" s="13">
        <v>1</v>
      </c>
      <c r="AC139" s="14">
        <v>0.95489999999999997</v>
      </c>
      <c r="AD139" s="14">
        <v>0.55369999999999997</v>
      </c>
      <c r="AE139" s="40">
        <v>0.18931100000000001</v>
      </c>
      <c r="AF139" s="11">
        <f t="shared" si="6"/>
        <v>0</v>
      </c>
    </row>
    <row r="140" spans="1:32" ht="15.5">
      <c r="A140">
        <v>138</v>
      </c>
      <c r="B140">
        <v>139</v>
      </c>
      <c r="C140" s="25">
        <v>12</v>
      </c>
      <c r="D140" s="11">
        <v>2015</v>
      </c>
      <c r="E140" s="11">
        <v>2.3599999999999999E-2</v>
      </c>
      <c r="F140" s="12">
        <v>0.15060000000000001</v>
      </c>
      <c r="G140" s="11">
        <v>0.95289999999999997</v>
      </c>
      <c r="H140" s="11">
        <v>1.1919</v>
      </c>
      <c r="I140" s="16">
        <v>6.2100000000000002E-2</v>
      </c>
      <c r="J140" s="11">
        <v>0.16139999999999999</v>
      </c>
      <c r="K140" s="11">
        <v>4.82E-2</v>
      </c>
      <c r="L140" s="11">
        <f t="shared" si="7"/>
        <v>0.18134974920200639</v>
      </c>
      <c r="M140" s="16">
        <v>2</v>
      </c>
      <c r="N140" s="16">
        <v>2</v>
      </c>
      <c r="O140" s="16">
        <v>2</v>
      </c>
      <c r="P140" s="16">
        <v>2</v>
      </c>
      <c r="Q140" s="16">
        <v>2</v>
      </c>
      <c r="R140" s="16">
        <v>2</v>
      </c>
      <c r="S140" s="16">
        <v>3</v>
      </c>
      <c r="T140" s="16">
        <v>3</v>
      </c>
      <c r="U140" s="16">
        <v>2</v>
      </c>
      <c r="V140" s="16">
        <v>2</v>
      </c>
      <c r="W140" s="16">
        <v>2</v>
      </c>
      <c r="X140" s="19">
        <v>0.51020408163265307</v>
      </c>
      <c r="Y140" s="13">
        <v>11915762</v>
      </c>
      <c r="Z140" s="15">
        <v>0</v>
      </c>
      <c r="AA140" s="15">
        <v>1</v>
      </c>
      <c r="AB140" s="13">
        <v>1</v>
      </c>
      <c r="AC140" s="14">
        <v>0.92589999999999995</v>
      </c>
      <c r="AD140" s="14">
        <v>0.66239999999999999</v>
      </c>
      <c r="AE140" s="18">
        <v>0.45852999999999999</v>
      </c>
      <c r="AF140" s="11">
        <f t="shared" si="6"/>
        <v>0</v>
      </c>
    </row>
    <row r="141" spans="1:32" ht="15.5">
      <c r="A141">
        <v>139</v>
      </c>
      <c r="B141">
        <v>140</v>
      </c>
      <c r="C141" s="10">
        <v>12</v>
      </c>
      <c r="D141" s="11">
        <v>2016</v>
      </c>
      <c r="E141" s="11">
        <v>2.1899999999999999E-2</v>
      </c>
      <c r="F141" s="12">
        <v>0.17449999999999999</v>
      </c>
      <c r="G141" s="11">
        <v>1.0066999999999999</v>
      </c>
      <c r="H141" s="11">
        <v>1.3133999999999999</v>
      </c>
      <c r="I141" s="16">
        <v>7.4700000000000003E-2</v>
      </c>
      <c r="J141" s="11">
        <v>0.1598</v>
      </c>
      <c r="K141" s="11">
        <v>4.3499999999999997E-2</v>
      </c>
      <c r="L141" s="11">
        <f t="shared" si="7"/>
        <v>0.18230665087155187</v>
      </c>
      <c r="M141" s="16">
        <v>2</v>
      </c>
      <c r="N141" s="16">
        <v>2</v>
      </c>
      <c r="O141" s="16">
        <v>2</v>
      </c>
      <c r="P141" s="16">
        <v>2</v>
      </c>
      <c r="Q141" s="16">
        <v>2</v>
      </c>
      <c r="R141" s="16">
        <v>2</v>
      </c>
      <c r="S141" s="16">
        <v>2</v>
      </c>
      <c r="T141" s="16">
        <v>2</v>
      </c>
      <c r="U141" s="16">
        <v>2</v>
      </c>
      <c r="V141" s="16">
        <v>2</v>
      </c>
      <c r="W141" s="16">
        <v>2</v>
      </c>
      <c r="X141" s="50" t="s">
        <v>81</v>
      </c>
      <c r="Y141" s="13">
        <v>25181959</v>
      </c>
      <c r="Z141" s="15">
        <v>0</v>
      </c>
      <c r="AA141" s="15">
        <v>0</v>
      </c>
      <c r="AB141" s="13">
        <v>1</v>
      </c>
      <c r="AC141" s="14">
        <v>0.99990000000000001</v>
      </c>
      <c r="AD141" s="14">
        <v>0.76600000000000001</v>
      </c>
      <c r="AE141" s="18">
        <v>0.51283999999999996</v>
      </c>
      <c r="AF141" s="11">
        <f t="shared" si="6"/>
        <v>0</v>
      </c>
    </row>
    <row r="142" spans="1:32" ht="15.5">
      <c r="A142">
        <v>140</v>
      </c>
      <c r="B142">
        <v>141</v>
      </c>
      <c r="C142" s="10">
        <v>12</v>
      </c>
      <c r="D142" s="11">
        <v>2017</v>
      </c>
      <c r="E142" s="11">
        <v>3.5999999999999999E-3</v>
      </c>
      <c r="F142" s="12">
        <v>2.01E-2</v>
      </c>
      <c r="G142" s="11">
        <v>0.83589999999999998</v>
      </c>
      <c r="H142" s="11">
        <v>0.96020000000000005</v>
      </c>
      <c r="I142" s="16">
        <v>4.7E-2</v>
      </c>
      <c r="J142" s="11">
        <v>0.19289999999999999</v>
      </c>
      <c r="K142" s="11">
        <v>4.0800000000000003E-2</v>
      </c>
      <c r="L142" s="11">
        <f t="shared" si="7"/>
        <v>0.14350264031792695</v>
      </c>
      <c r="M142" s="16">
        <v>2</v>
      </c>
      <c r="N142" s="16">
        <v>2</v>
      </c>
      <c r="O142" s="16">
        <v>2</v>
      </c>
      <c r="P142" s="16">
        <v>2</v>
      </c>
      <c r="Q142" s="16">
        <v>2</v>
      </c>
      <c r="R142" s="16">
        <v>2</v>
      </c>
      <c r="S142" s="16">
        <v>2</v>
      </c>
      <c r="T142" s="16">
        <v>2</v>
      </c>
      <c r="U142" s="16">
        <v>2</v>
      </c>
      <c r="V142" s="16">
        <v>2</v>
      </c>
      <c r="W142" s="16">
        <v>2</v>
      </c>
      <c r="X142" s="50" t="s">
        <v>82</v>
      </c>
      <c r="Y142" s="13">
        <v>57759443</v>
      </c>
      <c r="Z142" s="15">
        <v>0</v>
      </c>
      <c r="AA142" s="15">
        <v>0</v>
      </c>
      <c r="AB142" s="13">
        <v>1</v>
      </c>
      <c r="AC142" s="14">
        <v>0.99739999999999995</v>
      </c>
      <c r="AD142" s="14">
        <v>0.72699999999999998</v>
      </c>
      <c r="AE142" s="18">
        <v>0.36108000000000001</v>
      </c>
      <c r="AF142" s="11">
        <f t="shared" si="6"/>
        <v>0</v>
      </c>
    </row>
    <row r="143" spans="1:32" ht="15.5">
      <c r="A143">
        <v>141</v>
      </c>
      <c r="B143">
        <v>142</v>
      </c>
      <c r="C143" s="10">
        <v>12</v>
      </c>
      <c r="D143" s="11">
        <v>2018</v>
      </c>
      <c r="E143" s="11">
        <v>3.2000000000000002E-3</v>
      </c>
      <c r="F143" s="12">
        <v>2.0199999999999999E-2</v>
      </c>
      <c r="G143" s="11">
        <v>0.82779999999999998</v>
      </c>
      <c r="H143" s="11">
        <v>0.96379999999999999</v>
      </c>
      <c r="I143" s="16">
        <v>4.2500000000000003E-2</v>
      </c>
      <c r="J143" s="11">
        <v>0.22070000000000001</v>
      </c>
      <c r="K143" s="11">
        <v>3.4599999999999999E-2</v>
      </c>
      <c r="L143" s="11">
        <f t="shared" si="7"/>
        <v>0.15693790384404777</v>
      </c>
      <c r="M143" s="16">
        <v>2</v>
      </c>
      <c r="N143" s="16">
        <v>2</v>
      </c>
      <c r="O143" s="16">
        <v>2</v>
      </c>
      <c r="P143" s="16">
        <v>2</v>
      </c>
      <c r="Q143" s="16">
        <v>2</v>
      </c>
      <c r="R143" s="16">
        <v>2</v>
      </c>
      <c r="S143" s="16">
        <v>2</v>
      </c>
      <c r="T143" s="16">
        <v>2</v>
      </c>
      <c r="U143" s="16">
        <v>2</v>
      </c>
      <c r="V143" s="16">
        <v>2</v>
      </c>
      <c r="W143" s="16">
        <v>2</v>
      </c>
      <c r="X143" s="50" t="s">
        <v>83</v>
      </c>
      <c r="Y143" s="13">
        <v>31158617</v>
      </c>
      <c r="Z143" s="15">
        <v>0</v>
      </c>
      <c r="AA143" s="15">
        <v>0</v>
      </c>
      <c r="AB143" s="13">
        <v>1</v>
      </c>
      <c r="AC143" s="14">
        <v>0.99990000000000001</v>
      </c>
      <c r="AD143" s="14">
        <v>0.78900000000000003</v>
      </c>
      <c r="AE143" s="18">
        <v>0.39671000000000001</v>
      </c>
      <c r="AF143" s="11">
        <f t="shared" si="6"/>
        <v>0</v>
      </c>
    </row>
    <row r="144" spans="1:32" ht="15.5">
      <c r="A144">
        <v>142</v>
      </c>
      <c r="B144">
        <v>143</v>
      </c>
      <c r="C144" s="10">
        <v>12</v>
      </c>
      <c r="D144" s="11">
        <v>2019</v>
      </c>
      <c r="E144" s="11">
        <v>5.0000000000000001E-4</v>
      </c>
      <c r="F144" s="12">
        <v>3.9E-2</v>
      </c>
      <c r="G144" s="11">
        <v>0.8054</v>
      </c>
      <c r="H144" s="11">
        <v>0.998</v>
      </c>
      <c r="I144" s="16">
        <v>0.08</v>
      </c>
      <c r="J144" s="11">
        <v>0.19040000000000001</v>
      </c>
      <c r="K144" s="11">
        <v>2.64E-2</v>
      </c>
      <c r="L144" s="11">
        <f t="shared" si="7"/>
        <v>0.16936277188763801</v>
      </c>
      <c r="M144" s="16">
        <v>2</v>
      </c>
      <c r="N144" s="16">
        <v>2</v>
      </c>
      <c r="O144" s="16">
        <v>2</v>
      </c>
      <c r="P144" s="16">
        <v>2</v>
      </c>
      <c r="Q144" s="16">
        <v>2</v>
      </c>
      <c r="R144" s="16">
        <v>2</v>
      </c>
      <c r="S144" s="16">
        <v>2</v>
      </c>
      <c r="T144" s="16">
        <v>2</v>
      </c>
      <c r="U144" s="16">
        <v>2</v>
      </c>
      <c r="V144" s="16">
        <v>2</v>
      </c>
      <c r="W144" s="16">
        <v>2</v>
      </c>
      <c r="X144" s="50" t="s">
        <v>54</v>
      </c>
      <c r="Y144" s="13">
        <v>45484005</v>
      </c>
      <c r="Z144" s="15">
        <v>0</v>
      </c>
      <c r="AA144" s="15">
        <v>0</v>
      </c>
      <c r="AB144" s="13">
        <v>1</v>
      </c>
      <c r="AC144" s="14">
        <v>0.999</v>
      </c>
      <c r="AD144" s="14">
        <v>0.80200000000000005</v>
      </c>
      <c r="AE144" s="18">
        <v>0.40483999999999998</v>
      </c>
      <c r="AF144" s="11">
        <f t="shared" si="6"/>
        <v>0</v>
      </c>
    </row>
    <row r="145" spans="1:32" ht="15.5">
      <c r="A145">
        <v>143</v>
      </c>
      <c r="B145">
        <v>144</v>
      </c>
      <c r="C145" s="10">
        <v>12</v>
      </c>
      <c r="D145" s="11">
        <v>2020</v>
      </c>
      <c r="E145" s="11">
        <v>1.6000000000000001E-3</v>
      </c>
      <c r="F145" s="11">
        <v>0</v>
      </c>
      <c r="G145" s="11">
        <v>0.74050000000000005</v>
      </c>
      <c r="H145" s="11">
        <v>0.97799999999999998</v>
      </c>
      <c r="I145" s="11">
        <v>0</v>
      </c>
      <c r="J145" s="11">
        <v>0.24690000000000001</v>
      </c>
      <c r="K145" s="11">
        <v>2.9000000000000001E-2</v>
      </c>
      <c r="L145" s="11">
        <f>(E145+F145+I145+J145)/(G145+H145+K145)</f>
        <v>0.14220314735336195</v>
      </c>
      <c r="M145" s="13">
        <v>2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0.53061224489795922</v>
      </c>
      <c r="Y145" s="13">
        <v>0</v>
      </c>
      <c r="Z145" s="23">
        <v>0</v>
      </c>
      <c r="AA145" s="23">
        <v>0</v>
      </c>
      <c r="AB145" s="13">
        <v>0</v>
      </c>
      <c r="AC145" s="13">
        <v>0</v>
      </c>
      <c r="AD145" s="13">
        <v>0</v>
      </c>
      <c r="AE145" s="43">
        <v>0</v>
      </c>
      <c r="AF145" s="11">
        <f t="shared" si="6"/>
        <v>0</v>
      </c>
    </row>
    <row r="146" spans="1:32" ht="15.5">
      <c r="A146">
        <v>144</v>
      </c>
      <c r="B146">
        <v>145</v>
      </c>
      <c r="C146" s="13">
        <v>13</v>
      </c>
      <c r="D146" s="13">
        <v>2018</v>
      </c>
      <c r="E146" s="12">
        <v>1.9199999999999998E-2</v>
      </c>
      <c r="F146" s="12">
        <v>8.9200000000000002E-2</v>
      </c>
      <c r="G146" s="12">
        <v>0.98929999999999996</v>
      </c>
      <c r="H146" s="12">
        <v>0.86880000000000002</v>
      </c>
      <c r="I146" s="12">
        <v>6.6100000000000006E-2</v>
      </c>
      <c r="J146" s="12">
        <v>0.35420000000000001</v>
      </c>
      <c r="K146" s="12">
        <v>5.7000000000000002E-3</v>
      </c>
      <c r="L146" s="11">
        <f t="shared" si="7"/>
        <v>0.28366777551239403</v>
      </c>
      <c r="M146" s="13">
        <v>2</v>
      </c>
      <c r="N146" s="13">
        <v>2</v>
      </c>
      <c r="O146" s="13">
        <v>2</v>
      </c>
      <c r="P146" s="13">
        <v>2</v>
      </c>
      <c r="Q146" s="13">
        <v>2</v>
      </c>
      <c r="R146" s="13">
        <v>2</v>
      </c>
      <c r="S146" s="13">
        <v>2</v>
      </c>
      <c r="T146" s="13">
        <v>2</v>
      </c>
      <c r="U146" s="13">
        <v>2</v>
      </c>
      <c r="V146" s="13">
        <v>2</v>
      </c>
      <c r="W146" s="13">
        <v>2</v>
      </c>
      <c r="X146" s="59" t="s">
        <v>40</v>
      </c>
      <c r="Y146" s="13">
        <v>3000000</v>
      </c>
      <c r="Z146" s="15">
        <v>0</v>
      </c>
      <c r="AA146" s="15">
        <v>0</v>
      </c>
      <c r="AB146" s="13">
        <v>1</v>
      </c>
      <c r="AC146" s="20">
        <v>0.99839999999999995</v>
      </c>
      <c r="AD146" s="20">
        <v>9.3399999999999997E-2</v>
      </c>
      <c r="AE146" s="43">
        <v>1.9089</v>
      </c>
      <c r="AF146" s="11">
        <f t="shared" si="6"/>
        <v>0</v>
      </c>
    </row>
    <row r="147" spans="1:32" ht="15.5">
      <c r="A147">
        <v>145</v>
      </c>
      <c r="B147">
        <v>146</v>
      </c>
      <c r="C147" s="13">
        <v>13</v>
      </c>
      <c r="D147" s="13">
        <v>2019</v>
      </c>
      <c r="E147" s="12">
        <v>2.5600000000000001E-2</v>
      </c>
      <c r="F147" s="12">
        <v>1.2050000000000001</v>
      </c>
      <c r="G147" s="12">
        <v>0.81889999999999996</v>
      </c>
      <c r="H147" s="12">
        <v>0.76829999999999998</v>
      </c>
      <c r="I147" s="12">
        <v>0.55100000000000005</v>
      </c>
      <c r="J147" s="12">
        <v>0.35470000000000002</v>
      </c>
      <c r="K147" s="12">
        <v>6.0999999999999999E-2</v>
      </c>
      <c r="L147" s="11">
        <f t="shared" si="7"/>
        <v>1.2961412449945398</v>
      </c>
      <c r="M147" s="13">
        <v>2</v>
      </c>
      <c r="N147" s="13">
        <v>2</v>
      </c>
      <c r="O147" s="13">
        <v>2</v>
      </c>
      <c r="P147" s="13">
        <v>2</v>
      </c>
      <c r="Q147" s="13">
        <v>2</v>
      </c>
      <c r="R147" s="13">
        <v>2</v>
      </c>
      <c r="S147" s="13">
        <v>2</v>
      </c>
      <c r="T147" s="13">
        <v>2</v>
      </c>
      <c r="U147" s="13">
        <v>2</v>
      </c>
      <c r="V147" s="13">
        <v>2</v>
      </c>
      <c r="W147" s="13">
        <v>2</v>
      </c>
      <c r="X147" s="59" t="s">
        <v>40</v>
      </c>
      <c r="Y147" s="13">
        <v>14000000</v>
      </c>
      <c r="Z147" s="15">
        <v>0</v>
      </c>
      <c r="AA147" s="15">
        <v>0</v>
      </c>
      <c r="AB147" s="13">
        <v>1</v>
      </c>
      <c r="AC147" s="20">
        <v>0.99870000000000003</v>
      </c>
      <c r="AD147" s="20">
        <v>0.58850000000000002</v>
      </c>
      <c r="AE147" s="43">
        <v>1.9689000000000001</v>
      </c>
      <c r="AF147" s="11">
        <f t="shared" si="6"/>
        <v>1</v>
      </c>
    </row>
    <row r="148" spans="1:32" ht="15.5">
      <c r="A148">
        <v>146</v>
      </c>
      <c r="B148">
        <v>147</v>
      </c>
      <c r="C148" s="13">
        <v>14</v>
      </c>
      <c r="D148" s="13">
        <v>2011</v>
      </c>
      <c r="E148" s="20">
        <v>3.5700000000000003E-2</v>
      </c>
      <c r="F148" s="20">
        <v>4.9200000000000001E-2</v>
      </c>
      <c r="G148" s="20">
        <v>2.8919999999999999</v>
      </c>
      <c r="H148" s="20">
        <v>0.55179999999999996</v>
      </c>
      <c r="I148" s="20">
        <v>5.9200000000000003E-2</v>
      </c>
      <c r="J148" s="20">
        <v>7.3400000000000007E-2</v>
      </c>
      <c r="K148" s="20">
        <v>0</v>
      </c>
      <c r="L148" s="11">
        <f t="shared" si="7"/>
        <v>6.3156977757128765E-2</v>
      </c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>
        <v>1</v>
      </c>
      <c r="X148" s="17">
        <v>0.40600000000000003</v>
      </c>
      <c r="Y148" s="20">
        <v>0</v>
      </c>
      <c r="Z148" s="23">
        <v>1</v>
      </c>
      <c r="AA148" s="23">
        <v>1</v>
      </c>
      <c r="AB148" s="13">
        <v>1</v>
      </c>
      <c r="AC148" s="20">
        <v>0.99960000000000004</v>
      </c>
      <c r="AD148" s="20">
        <v>0.34160000000000001</v>
      </c>
      <c r="AE148" s="59">
        <v>1.5057</v>
      </c>
      <c r="AF148" s="11">
        <f t="shared" si="6"/>
        <v>0</v>
      </c>
    </row>
    <row r="149" spans="1:32" ht="15.5">
      <c r="A149">
        <v>147</v>
      </c>
      <c r="B149">
        <v>148</v>
      </c>
      <c r="C149" s="13">
        <v>14</v>
      </c>
      <c r="D149" s="13">
        <v>2012</v>
      </c>
      <c r="E149" s="20">
        <v>2.8799999999999999E-2</v>
      </c>
      <c r="F149" s="20">
        <v>4.9299999999999997E-2</v>
      </c>
      <c r="G149" s="20">
        <v>1.9770000000000001</v>
      </c>
      <c r="H149" s="20">
        <v>0.53769999999999996</v>
      </c>
      <c r="I149" s="20">
        <v>5.7799999999999997E-2</v>
      </c>
      <c r="J149" s="20">
        <v>6.3799999999999996E-2</v>
      </c>
      <c r="K149" s="20">
        <v>1.2500000000000001E-2</v>
      </c>
      <c r="L149" s="11">
        <f t="shared" si="7"/>
        <v>7.9020259575815127E-2</v>
      </c>
      <c r="M149" s="13">
        <v>4</v>
      </c>
      <c r="N149" s="13">
        <v>2</v>
      </c>
      <c r="O149" s="13">
        <v>2</v>
      </c>
      <c r="P149" s="13">
        <v>2</v>
      </c>
      <c r="Q149" s="13">
        <v>2</v>
      </c>
      <c r="R149" s="13">
        <v>2</v>
      </c>
      <c r="S149" s="13">
        <v>2</v>
      </c>
      <c r="T149" s="13">
        <v>3</v>
      </c>
      <c r="U149" s="13">
        <v>2</v>
      </c>
      <c r="V149" s="13">
        <v>2</v>
      </c>
      <c r="W149" s="13">
        <v>2</v>
      </c>
      <c r="X149" s="17">
        <v>0.55600000000000005</v>
      </c>
      <c r="Y149" s="20">
        <v>0</v>
      </c>
      <c r="Z149" s="23">
        <v>1</v>
      </c>
      <c r="AA149" s="23">
        <v>1</v>
      </c>
      <c r="AB149" s="13">
        <v>1</v>
      </c>
      <c r="AC149" s="20">
        <v>0.99970000000000003</v>
      </c>
      <c r="AD149" s="20">
        <v>0.7419</v>
      </c>
      <c r="AE149" s="59">
        <v>1.2613000000000001</v>
      </c>
      <c r="AF149" s="11">
        <f t="shared" si="6"/>
        <v>0</v>
      </c>
    </row>
    <row r="150" spans="1:32" ht="15.5">
      <c r="A150">
        <v>148</v>
      </c>
      <c r="B150">
        <v>149</v>
      </c>
      <c r="C150" s="13">
        <v>14</v>
      </c>
      <c r="D150" s="13">
        <v>2013</v>
      </c>
      <c r="E150" s="20">
        <v>2.87E-2</v>
      </c>
      <c r="F150" s="20">
        <v>5.0500000000000003E-2</v>
      </c>
      <c r="G150" s="20">
        <v>1.5286999999999999</v>
      </c>
      <c r="H150" s="20">
        <v>0.67789999999999995</v>
      </c>
      <c r="I150" s="20">
        <v>5.6099999999999997E-2</v>
      </c>
      <c r="J150" s="20">
        <v>5.9400000000000001E-2</v>
      </c>
      <c r="K150" s="20">
        <v>0</v>
      </c>
      <c r="L150" s="11">
        <f t="shared" si="7"/>
        <v>8.8235294117647065E-2</v>
      </c>
      <c r="M150" s="13">
        <v>2</v>
      </c>
      <c r="N150" s="13">
        <v>3</v>
      </c>
      <c r="O150" s="13">
        <v>2</v>
      </c>
      <c r="P150" s="13">
        <v>2</v>
      </c>
      <c r="Q150" s="13">
        <v>2</v>
      </c>
      <c r="R150" s="13">
        <v>2</v>
      </c>
      <c r="S150" s="13">
        <v>2</v>
      </c>
      <c r="T150" s="13">
        <v>2</v>
      </c>
      <c r="U150" s="13">
        <v>2</v>
      </c>
      <c r="V150" s="13">
        <v>2</v>
      </c>
      <c r="W150" s="13">
        <v>2</v>
      </c>
      <c r="X150" s="17">
        <v>0.58899999999999997</v>
      </c>
      <c r="Y150" s="20">
        <v>0</v>
      </c>
      <c r="Z150" s="23">
        <v>1</v>
      </c>
      <c r="AA150" s="23">
        <v>1</v>
      </c>
      <c r="AB150" s="13">
        <v>1</v>
      </c>
      <c r="AC150" s="20">
        <v>0.98540000000000005</v>
      </c>
      <c r="AD150" s="13">
        <v>6.9999999999999999E-4</v>
      </c>
      <c r="AE150" s="59">
        <v>0.93359999999999999</v>
      </c>
      <c r="AF150" s="11">
        <f t="shared" si="6"/>
        <v>0</v>
      </c>
    </row>
    <row r="151" spans="1:32" ht="15.5">
      <c r="A151">
        <v>149</v>
      </c>
      <c r="B151">
        <v>150</v>
      </c>
      <c r="C151" s="13">
        <v>14</v>
      </c>
      <c r="D151" s="13">
        <v>2014</v>
      </c>
      <c r="E151" s="12">
        <v>3.61E-2</v>
      </c>
      <c r="F151" s="12">
        <v>6.83E-2</v>
      </c>
      <c r="G151" s="12">
        <v>1.1053999999999999</v>
      </c>
      <c r="H151" s="12">
        <v>0.69599999999999995</v>
      </c>
      <c r="I151" s="12">
        <v>6.6500000000000004E-2</v>
      </c>
      <c r="J151" s="12">
        <v>5.2130000000000003E-2</v>
      </c>
      <c r="K151" s="12">
        <v>4.2900000000000001E-2</v>
      </c>
      <c r="L151" s="11">
        <f t="shared" si="7"/>
        <v>0.12092934988884674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  <c r="R151" s="16">
        <v>1</v>
      </c>
      <c r="S151" s="16">
        <v>1</v>
      </c>
      <c r="T151" s="16">
        <v>1</v>
      </c>
      <c r="U151" s="16">
        <v>1</v>
      </c>
      <c r="V151" s="16">
        <v>1</v>
      </c>
      <c r="W151" s="16">
        <v>1</v>
      </c>
      <c r="X151" s="17">
        <v>0.59499999999999997</v>
      </c>
      <c r="Y151" s="20">
        <v>0</v>
      </c>
      <c r="Z151" s="23">
        <v>1</v>
      </c>
      <c r="AA151" s="23">
        <v>1</v>
      </c>
      <c r="AB151" s="13">
        <v>1</v>
      </c>
      <c r="AC151" s="14">
        <v>0.99990000000000001</v>
      </c>
      <c r="AD151" s="14">
        <v>0.15559999999999999</v>
      </c>
      <c r="AE151" s="59" t="s">
        <v>84</v>
      </c>
      <c r="AF151" s="11">
        <f t="shared" si="6"/>
        <v>0</v>
      </c>
    </row>
    <row r="152" spans="1:32" ht="15.5">
      <c r="A152">
        <v>150</v>
      </c>
      <c r="B152">
        <v>151</v>
      </c>
      <c r="C152" s="13">
        <v>14</v>
      </c>
      <c r="D152" s="13">
        <v>2015</v>
      </c>
      <c r="E152" s="12">
        <v>0.20130000000000001</v>
      </c>
      <c r="F152" s="12">
        <v>0.32040000000000002</v>
      </c>
      <c r="G152" s="12">
        <v>1.1054E-2</v>
      </c>
      <c r="H152" s="12">
        <v>1.9259999999999999</v>
      </c>
      <c r="I152" s="12">
        <v>6.54E-2</v>
      </c>
      <c r="J152" s="12">
        <v>3.8399999999999997E-2</v>
      </c>
      <c r="K152" s="12">
        <v>4.9299999999999997E-2</v>
      </c>
      <c r="L152" s="11">
        <f t="shared" si="7"/>
        <v>0.31489855282593138</v>
      </c>
      <c r="M152" s="16">
        <v>2</v>
      </c>
      <c r="N152" s="16">
        <v>2</v>
      </c>
      <c r="O152" s="16">
        <v>2</v>
      </c>
      <c r="P152" s="16">
        <v>2</v>
      </c>
      <c r="Q152" s="16">
        <v>2</v>
      </c>
      <c r="R152" s="16">
        <v>2</v>
      </c>
      <c r="S152" s="16">
        <v>2</v>
      </c>
      <c r="T152" s="16">
        <v>2</v>
      </c>
      <c r="U152" s="16">
        <v>2</v>
      </c>
      <c r="V152" s="16">
        <v>2</v>
      </c>
      <c r="W152" s="16">
        <v>2</v>
      </c>
      <c r="X152" s="17">
        <v>0.29166666699999999</v>
      </c>
      <c r="Y152" s="20">
        <v>0</v>
      </c>
      <c r="Z152" s="23">
        <v>1</v>
      </c>
      <c r="AA152" s="23">
        <v>1</v>
      </c>
      <c r="AB152" s="13">
        <v>1</v>
      </c>
      <c r="AC152" s="14">
        <v>0.99590000000000001</v>
      </c>
      <c r="AD152" s="14">
        <v>0.1285</v>
      </c>
      <c r="AE152" s="18">
        <v>0.38</v>
      </c>
      <c r="AF152" s="11">
        <f t="shared" si="6"/>
        <v>0</v>
      </c>
    </row>
    <row r="153" spans="1:32" ht="15.5">
      <c r="A153">
        <v>151</v>
      </c>
      <c r="B153">
        <v>152</v>
      </c>
      <c r="C153" s="13">
        <v>14</v>
      </c>
      <c r="D153" s="13">
        <v>2016</v>
      </c>
      <c r="E153" s="12">
        <v>9.5100000000000004E-2</v>
      </c>
      <c r="F153" s="12">
        <v>0.2762</v>
      </c>
      <c r="G153" s="12">
        <v>1.3472999999999999</v>
      </c>
      <c r="H153" s="12">
        <v>1.6028</v>
      </c>
      <c r="I153" s="12">
        <v>4.99E-2</v>
      </c>
      <c r="J153" s="12">
        <v>0.55059999999999998</v>
      </c>
      <c r="K153" s="12">
        <v>4.5999999999999999E-2</v>
      </c>
      <c r="L153" s="11">
        <f t="shared" si="7"/>
        <v>0.32435499482660796</v>
      </c>
      <c r="M153" s="16">
        <v>2</v>
      </c>
      <c r="N153" s="16">
        <v>2</v>
      </c>
      <c r="O153" s="16">
        <v>2</v>
      </c>
      <c r="P153" s="16">
        <v>2</v>
      </c>
      <c r="Q153" s="16">
        <v>2</v>
      </c>
      <c r="R153" s="16">
        <v>2</v>
      </c>
      <c r="S153" s="16">
        <v>2</v>
      </c>
      <c r="T153" s="16">
        <v>2</v>
      </c>
      <c r="U153" s="16">
        <v>2</v>
      </c>
      <c r="V153" s="16">
        <v>2</v>
      </c>
      <c r="W153" s="16">
        <v>2</v>
      </c>
      <c r="X153" s="17">
        <v>0.33333333300000001</v>
      </c>
      <c r="Y153" s="20">
        <v>0</v>
      </c>
      <c r="Z153" s="23">
        <v>1</v>
      </c>
      <c r="AA153" s="23">
        <v>1</v>
      </c>
      <c r="AB153" s="13">
        <v>1</v>
      </c>
      <c r="AC153" s="14">
        <v>0.99980000000000002</v>
      </c>
      <c r="AD153" s="14">
        <v>0.42399999999999999</v>
      </c>
      <c r="AE153" s="18">
        <v>0.37</v>
      </c>
      <c r="AF153" s="11">
        <f t="shared" si="6"/>
        <v>0</v>
      </c>
    </row>
    <row r="154" spans="1:32" ht="15.5">
      <c r="A154">
        <v>152</v>
      </c>
      <c r="B154">
        <v>153</v>
      </c>
      <c r="C154" s="13">
        <v>14</v>
      </c>
      <c r="D154" s="13">
        <v>2017</v>
      </c>
      <c r="E154" s="12">
        <v>5.5E-2</v>
      </c>
      <c r="F154" s="12">
        <v>1.78E-2</v>
      </c>
      <c r="G154" s="12">
        <v>0.85940000000000005</v>
      </c>
      <c r="H154" s="12">
        <v>0.83360000000000001</v>
      </c>
      <c r="I154" s="12">
        <v>8.7900000000000006E-2</v>
      </c>
      <c r="J154" s="12">
        <v>0.75829999999999997</v>
      </c>
      <c r="K154" s="12">
        <v>0</v>
      </c>
      <c r="L154" s="11">
        <f t="shared" si="7"/>
        <v>0.54282339043118721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  <c r="R154" s="16">
        <v>1</v>
      </c>
      <c r="S154" s="16">
        <v>1</v>
      </c>
      <c r="T154" s="16">
        <v>1</v>
      </c>
      <c r="U154" s="16">
        <v>1</v>
      </c>
      <c r="V154" s="16">
        <v>1</v>
      </c>
      <c r="W154" s="16">
        <v>1</v>
      </c>
      <c r="X154" s="17">
        <v>0.41860000000000003</v>
      </c>
      <c r="Y154" s="20">
        <v>0</v>
      </c>
      <c r="Z154" s="23">
        <v>1</v>
      </c>
      <c r="AA154" s="23">
        <v>1</v>
      </c>
      <c r="AB154" s="13">
        <v>1</v>
      </c>
      <c r="AC154" s="14">
        <v>0.99970000000000003</v>
      </c>
      <c r="AD154" s="14">
        <v>0.83599999999999997</v>
      </c>
      <c r="AE154" s="18">
        <v>1.74</v>
      </c>
      <c r="AF154" s="11">
        <f t="shared" si="6"/>
        <v>0</v>
      </c>
    </row>
    <row r="155" spans="1:32" ht="15.5">
      <c r="A155">
        <v>153</v>
      </c>
      <c r="B155">
        <v>154</v>
      </c>
      <c r="C155" s="13">
        <v>14</v>
      </c>
      <c r="D155" s="13">
        <v>2018</v>
      </c>
      <c r="E155" s="12">
        <v>6.8599999999999994E-2</v>
      </c>
      <c r="F155" s="12">
        <v>0.1128</v>
      </c>
      <c r="G155" s="12">
        <v>4249.2353000000003</v>
      </c>
      <c r="H155" s="12">
        <v>1.9997</v>
      </c>
      <c r="I155" s="12">
        <v>0.18279999999999999</v>
      </c>
      <c r="J155" s="12">
        <v>1.6307</v>
      </c>
      <c r="K155" s="12">
        <v>0</v>
      </c>
      <c r="L155" s="11">
        <f t="shared" si="7"/>
        <v>4.692518762194985E-4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  <c r="R155" s="16">
        <v>1</v>
      </c>
      <c r="S155" s="16">
        <v>1</v>
      </c>
      <c r="T155" s="16">
        <v>1</v>
      </c>
      <c r="U155" s="16">
        <v>1</v>
      </c>
      <c r="V155" s="16">
        <v>1</v>
      </c>
      <c r="W155" s="16">
        <v>1</v>
      </c>
      <c r="X155" s="17">
        <v>0.46511999999999998</v>
      </c>
      <c r="Y155" s="20">
        <v>24314000</v>
      </c>
      <c r="Z155" s="23">
        <v>1</v>
      </c>
      <c r="AA155" s="23">
        <v>1</v>
      </c>
      <c r="AB155" s="13">
        <v>1</v>
      </c>
      <c r="AC155" s="14">
        <v>0.99939999999999996</v>
      </c>
      <c r="AD155" s="14">
        <v>0</v>
      </c>
      <c r="AE155" s="18">
        <v>0.38</v>
      </c>
      <c r="AF155" s="11">
        <f t="shared" si="6"/>
        <v>0</v>
      </c>
    </row>
    <row r="156" spans="1:32" ht="15.5">
      <c r="A156">
        <v>154</v>
      </c>
      <c r="B156">
        <v>155</v>
      </c>
      <c r="C156" s="13">
        <v>14</v>
      </c>
      <c r="D156" s="13">
        <v>2019</v>
      </c>
      <c r="E156" s="12">
        <v>1.4500000000000001E-2</v>
      </c>
      <c r="F156" s="12">
        <v>7.7299999999999994E-2</v>
      </c>
      <c r="G156" s="16">
        <v>3.0067409999999999E-2</v>
      </c>
      <c r="H156" s="12">
        <v>8.7090000000000001E-2</v>
      </c>
      <c r="I156" s="12">
        <v>5.0700000000000002E-2</v>
      </c>
      <c r="J156" s="16">
        <v>4.045E-2</v>
      </c>
      <c r="K156" s="16">
        <v>0.02</v>
      </c>
      <c r="L156" s="11">
        <f t="shared" si="7"/>
        <v>1.3338688737269098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  <c r="R156" s="16">
        <v>1</v>
      </c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17">
        <v>0.44185999999999998</v>
      </c>
      <c r="Y156" s="20">
        <v>31455000</v>
      </c>
      <c r="Z156" s="60">
        <v>1</v>
      </c>
      <c r="AA156" s="60">
        <v>1</v>
      </c>
      <c r="AB156" s="13">
        <v>1</v>
      </c>
      <c r="AC156" s="14">
        <v>0.99990000000000001</v>
      </c>
      <c r="AD156" s="14">
        <v>0</v>
      </c>
      <c r="AE156" s="18" t="s">
        <v>85</v>
      </c>
      <c r="AF156" s="11">
        <f t="shared" si="6"/>
        <v>1</v>
      </c>
    </row>
    <row r="157" spans="1:32" ht="15.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6"/>
      <c r="AD157" s="6"/>
      <c r="AE157" s="8"/>
      <c r="AF157" s="1"/>
    </row>
    <row r="158" spans="1:32" ht="15.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6"/>
      <c r="AD158" s="6"/>
      <c r="AE158" s="8"/>
      <c r="AF158" s="1"/>
    </row>
    <row r="159" spans="1:32" ht="15.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6"/>
      <c r="AD159" s="6"/>
      <c r="AE159" s="8"/>
      <c r="AF159" s="1"/>
    </row>
    <row r="160" spans="1:32" ht="15.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6"/>
      <c r="AD160" s="6"/>
      <c r="AE160" s="8"/>
      <c r="AF160" s="1"/>
    </row>
    <row r="161" spans="3:32" ht="15.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6"/>
      <c r="AD161" s="6"/>
      <c r="AE161" s="8"/>
      <c r="AF161" s="1"/>
    </row>
    <row r="162" spans="3:32" ht="15.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6"/>
      <c r="AD162" s="6"/>
      <c r="AE162" s="8"/>
      <c r="AF162" s="1"/>
    </row>
    <row r="163" spans="3:32" ht="15.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6"/>
      <c r="AD163" s="6"/>
      <c r="AE163" s="8"/>
      <c r="AF163" s="1"/>
    </row>
    <row r="164" spans="3:32" ht="15.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6"/>
      <c r="AD164" s="6"/>
      <c r="AE164" s="8"/>
      <c r="AF164" s="1"/>
    </row>
    <row r="165" spans="3:32" ht="15.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6"/>
      <c r="AD165" s="6"/>
      <c r="AE165" s="8"/>
      <c r="AF165" s="1"/>
    </row>
    <row r="166" spans="3:32" ht="15.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6"/>
      <c r="AD166" s="6"/>
      <c r="AE166" s="8"/>
      <c r="AF166" s="1"/>
    </row>
    <row r="167" spans="3:32" ht="15.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6"/>
      <c r="AD167" s="6"/>
      <c r="AE167" s="8"/>
      <c r="AF167" s="1"/>
    </row>
    <row r="168" spans="3:32" ht="15.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6"/>
      <c r="AD168" s="6"/>
      <c r="AE168" s="8"/>
      <c r="AF168" s="1"/>
    </row>
    <row r="169" spans="3:32" ht="15.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6"/>
      <c r="AD169" s="6"/>
      <c r="AE169" s="8"/>
      <c r="AF169" s="1"/>
    </row>
    <row r="170" spans="3:32" ht="15.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6"/>
      <c r="AD170" s="6"/>
      <c r="AE170" s="8"/>
      <c r="AF170" s="1"/>
    </row>
    <row r="171" spans="3:32" ht="15.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6"/>
      <c r="AD171" s="6"/>
      <c r="AE171" s="8"/>
      <c r="AF171" s="1"/>
    </row>
    <row r="172" spans="3:32" ht="15.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6"/>
      <c r="AD172" s="6"/>
      <c r="AE172" s="8"/>
      <c r="AF172" s="1"/>
    </row>
    <row r="173" spans="3:32" ht="15.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6"/>
      <c r="AD173" s="6"/>
      <c r="AE173" s="8"/>
      <c r="AF173" s="1"/>
    </row>
    <row r="174" spans="3:32" ht="15.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6"/>
      <c r="AD174" s="6"/>
      <c r="AE174" s="8"/>
      <c r="AF174" s="1"/>
    </row>
    <row r="175" spans="3:32" ht="15.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6"/>
      <c r="AD175" s="6"/>
      <c r="AE175" s="8"/>
      <c r="AF175" s="1"/>
    </row>
    <row r="176" spans="3:32" ht="15.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6"/>
      <c r="AD176" s="6"/>
      <c r="AE176" s="8"/>
      <c r="AF176" s="1"/>
    </row>
    <row r="177" spans="3:32" ht="15.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6"/>
      <c r="AD177" s="6"/>
      <c r="AE177" s="8"/>
      <c r="AF177" s="1"/>
    </row>
    <row r="178" spans="3:32" ht="15.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6"/>
      <c r="AD178" s="6"/>
      <c r="AE178" s="8"/>
      <c r="AF178" s="1"/>
    </row>
    <row r="179" spans="3:32" ht="15.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6"/>
      <c r="AD179" s="6"/>
      <c r="AE179" s="8"/>
      <c r="AF179" s="1"/>
    </row>
    <row r="180" spans="3:32" ht="15.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6"/>
      <c r="AD180" s="6"/>
      <c r="AE180" s="8"/>
      <c r="AF180" s="1"/>
    </row>
    <row r="181" spans="3:32" ht="15.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6"/>
      <c r="AD181" s="6"/>
      <c r="AE181" s="8"/>
      <c r="AF181" s="1"/>
    </row>
    <row r="182" spans="3:32" ht="15.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6"/>
      <c r="AD182" s="6"/>
      <c r="AE182" s="8"/>
      <c r="AF182" s="1"/>
    </row>
    <row r="183" spans="3:32" ht="15.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6"/>
      <c r="AD183" s="6"/>
      <c r="AE183" s="8"/>
      <c r="AF183" s="1"/>
    </row>
    <row r="184" spans="3:32" ht="15.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6"/>
      <c r="AD184" s="6"/>
      <c r="AE184" s="8"/>
      <c r="AF184" s="1"/>
    </row>
    <row r="185" spans="3:32" ht="15.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6"/>
      <c r="AD185" s="6"/>
      <c r="AE185" s="8"/>
      <c r="AF185" s="1"/>
    </row>
    <row r="186" spans="3:32" ht="15.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6"/>
      <c r="AD186" s="6"/>
      <c r="AE186" s="8"/>
      <c r="AF186" s="1"/>
    </row>
    <row r="187" spans="3:32" ht="15.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6"/>
      <c r="AD187" s="6"/>
      <c r="AE187" s="8"/>
      <c r="AF187" s="1"/>
    </row>
    <row r="188" spans="3:32" ht="15.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6"/>
      <c r="AD188" s="6"/>
      <c r="AE188" s="8"/>
      <c r="AF188" s="1"/>
    </row>
    <row r="189" spans="3:32" ht="15.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6"/>
      <c r="AD189" s="6"/>
      <c r="AE189" s="8"/>
      <c r="AF189" s="1"/>
    </row>
    <row r="190" spans="3:32" ht="15.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6"/>
      <c r="AD190" s="6"/>
      <c r="AE190" s="8"/>
      <c r="AF190" s="1"/>
    </row>
    <row r="191" spans="3:32" ht="15.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6"/>
      <c r="AD191" s="6"/>
      <c r="AE191" s="8"/>
      <c r="AF191" s="1"/>
    </row>
    <row r="192" spans="3:32" ht="15.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6"/>
      <c r="AD192" s="6"/>
      <c r="AE192" s="8"/>
      <c r="AF192" s="1"/>
    </row>
    <row r="193" spans="3:32" ht="15.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6"/>
      <c r="AD193" s="6"/>
      <c r="AE193" s="8"/>
      <c r="AF193" s="1"/>
    </row>
    <row r="194" spans="3:32" ht="15.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6"/>
      <c r="AD194" s="6"/>
      <c r="AE194" s="8"/>
      <c r="AF194" s="1"/>
    </row>
    <row r="195" spans="3:32" ht="15.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6"/>
      <c r="AD195" s="6"/>
      <c r="AE195" s="8"/>
      <c r="AF195" s="1"/>
    </row>
    <row r="196" spans="3:32" ht="15.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6"/>
      <c r="AD196" s="6"/>
      <c r="AE196" s="8"/>
      <c r="AF196" s="1"/>
    </row>
    <row r="197" spans="3:32" ht="15.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6"/>
      <c r="AD197" s="6"/>
      <c r="AE197" s="8"/>
      <c r="AF197" s="1"/>
    </row>
    <row r="198" spans="3:32" ht="15.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6"/>
      <c r="AD198" s="6"/>
      <c r="AE198" s="8"/>
      <c r="AF198" s="1"/>
    </row>
    <row r="199" spans="3:32" ht="15.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6"/>
      <c r="AD199" s="6"/>
      <c r="AE199" s="8"/>
      <c r="AF199" s="1"/>
    </row>
    <row r="200" spans="3:32" ht="15.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6"/>
      <c r="AD200" s="6"/>
      <c r="AE200" s="8"/>
      <c r="AF200" s="1"/>
    </row>
    <row r="201" spans="3:32" ht="15.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6"/>
      <c r="AD201" s="6"/>
      <c r="AE201" s="8"/>
      <c r="AF201" s="1"/>
    </row>
    <row r="202" spans="3:32" ht="15.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6"/>
      <c r="AD202" s="6"/>
      <c r="AE202" s="8"/>
      <c r="AF202" s="1"/>
    </row>
    <row r="203" spans="3:32" ht="15.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6"/>
      <c r="AD203" s="6"/>
      <c r="AE203" s="8"/>
      <c r="AF203" s="1"/>
    </row>
    <row r="204" spans="3:32" ht="15.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6"/>
      <c r="AD204" s="6"/>
      <c r="AE204" s="8"/>
      <c r="AF204" s="1"/>
    </row>
    <row r="205" spans="3:32" ht="15.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6"/>
      <c r="AD205" s="6"/>
      <c r="AE205" s="8"/>
      <c r="AF205" s="1"/>
    </row>
    <row r="206" spans="3:32" ht="15.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6"/>
      <c r="AD206" s="6"/>
      <c r="AE206" s="8"/>
      <c r="AF206" s="1"/>
    </row>
    <row r="207" spans="3:32" ht="15.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6"/>
      <c r="AD207" s="6"/>
      <c r="AE207" s="8"/>
      <c r="AF207" s="1"/>
    </row>
    <row r="208" spans="3:32" ht="15.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6"/>
      <c r="AD208" s="6"/>
      <c r="AE208" s="8"/>
      <c r="AF208" s="1"/>
    </row>
    <row r="209" spans="3:32" ht="15.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6"/>
      <c r="AD209" s="6"/>
      <c r="AE209" s="8"/>
      <c r="AF209" s="1"/>
    </row>
    <row r="210" spans="3:32" ht="15.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6"/>
      <c r="AD210" s="6"/>
      <c r="AE210" s="8"/>
      <c r="AF210" s="1"/>
    </row>
    <row r="211" spans="3:32" ht="15.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6"/>
      <c r="AD211" s="6"/>
      <c r="AE211" s="8"/>
      <c r="AF211" s="1"/>
    </row>
    <row r="212" spans="3:32" ht="15.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6"/>
      <c r="AD212" s="6"/>
      <c r="AE212" s="8"/>
      <c r="AF212" s="1"/>
    </row>
    <row r="213" spans="3:32" ht="15.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6"/>
      <c r="AD213" s="6"/>
      <c r="AE213" s="8"/>
      <c r="AF213" s="1"/>
    </row>
    <row r="214" spans="3:32" ht="15.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6"/>
      <c r="AD214" s="6"/>
      <c r="AE214" s="8"/>
      <c r="AF214" s="1"/>
    </row>
    <row r="215" spans="3:32" ht="15.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6"/>
      <c r="AD215" s="6"/>
      <c r="AE215" s="8"/>
      <c r="AF215" s="1"/>
    </row>
    <row r="216" spans="3:32" ht="15.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6"/>
      <c r="AD216" s="6"/>
      <c r="AE216" s="8"/>
      <c r="AF216" s="1"/>
    </row>
    <row r="217" spans="3:32" ht="15.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6"/>
      <c r="AD217" s="6"/>
      <c r="AE217" s="8"/>
      <c r="AF217" s="1"/>
    </row>
    <row r="218" spans="3:32" ht="15.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6"/>
      <c r="AD218" s="6"/>
      <c r="AE218" s="8"/>
      <c r="AF218" s="1"/>
    </row>
    <row r="219" spans="3:32" ht="15.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6"/>
      <c r="AD219" s="6"/>
      <c r="AE219" s="8"/>
      <c r="AF219" s="1"/>
    </row>
    <row r="220" spans="3:32" ht="15.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6"/>
      <c r="AD220" s="6"/>
      <c r="AE220" s="8"/>
      <c r="AF220" s="1"/>
    </row>
    <row r="221" spans="3:32" ht="15.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6"/>
      <c r="AD221" s="6"/>
      <c r="AE221" s="8"/>
      <c r="AF221" s="1"/>
    </row>
    <row r="222" spans="3:32" ht="15.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6"/>
      <c r="AD222" s="6"/>
      <c r="AE222" s="8"/>
      <c r="AF222" s="1"/>
    </row>
    <row r="223" spans="3:32" ht="15.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6"/>
      <c r="AD223" s="6"/>
      <c r="AE223" s="8"/>
      <c r="AF223" s="1"/>
    </row>
    <row r="224" spans="3:32" ht="15.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6"/>
      <c r="AD224" s="6"/>
      <c r="AE224" s="8"/>
      <c r="AF224" s="1"/>
    </row>
    <row r="225" spans="3:32" ht="15.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6"/>
      <c r="AD225" s="6"/>
      <c r="AE225" s="8"/>
      <c r="AF225" s="1"/>
    </row>
    <row r="226" spans="3:32" ht="15.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6"/>
      <c r="AD226" s="6"/>
      <c r="AE226" s="8"/>
      <c r="AF226" s="1"/>
    </row>
    <row r="227" spans="3:32" ht="15.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6"/>
      <c r="AD227" s="6"/>
      <c r="AE227" s="8"/>
      <c r="AF227" s="1"/>
    </row>
    <row r="228" spans="3:32" ht="15.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6"/>
      <c r="AD228" s="6"/>
      <c r="AE228" s="8"/>
      <c r="AF228" s="1"/>
    </row>
    <row r="229" spans="3:32" ht="15.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6"/>
      <c r="AD229" s="6"/>
      <c r="AE229" s="8"/>
      <c r="AF229" s="1"/>
    </row>
    <row r="230" spans="3:32" ht="15.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6"/>
      <c r="AD230" s="6"/>
      <c r="AE230" s="8"/>
      <c r="AF230" s="1"/>
    </row>
    <row r="231" spans="3:32" ht="15.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6"/>
      <c r="AD231" s="6"/>
      <c r="AE231" s="8"/>
      <c r="AF231" s="1"/>
    </row>
    <row r="232" spans="3:32" ht="15.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6"/>
      <c r="AD232" s="6"/>
      <c r="AE232" s="8"/>
      <c r="AF232" s="1"/>
    </row>
    <row r="233" spans="3:32" ht="15.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6"/>
      <c r="AD233" s="6"/>
      <c r="AE233" s="8"/>
      <c r="AF233" s="1"/>
    </row>
    <row r="234" spans="3:32" ht="15.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6"/>
      <c r="AD234" s="6"/>
      <c r="AE234" s="8"/>
      <c r="AF234" s="1"/>
    </row>
    <row r="235" spans="3:32" ht="15.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6"/>
      <c r="AD235" s="6"/>
      <c r="AE235" s="8"/>
      <c r="AF235" s="1"/>
    </row>
    <row r="236" spans="3:32" ht="15.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6"/>
      <c r="AD236" s="6"/>
      <c r="AE236" s="8"/>
      <c r="AF236" s="1"/>
    </row>
    <row r="237" spans="3:32" ht="15.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6"/>
      <c r="AD237" s="6"/>
      <c r="AE237" s="8"/>
      <c r="AF237" s="1"/>
    </row>
    <row r="238" spans="3:32" ht="15.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6"/>
      <c r="AD238" s="6"/>
      <c r="AE238" s="8"/>
      <c r="AF238" s="1"/>
    </row>
    <row r="239" spans="3:32" ht="15.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6"/>
      <c r="AD239" s="6"/>
      <c r="AE239" s="8"/>
      <c r="AF239" s="1"/>
    </row>
    <row r="240" spans="3:32" ht="15.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6"/>
      <c r="AD240" s="6"/>
      <c r="AE240" s="8"/>
      <c r="AF240" s="1"/>
    </row>
    <row r="241" spans="3:32" ht="15.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6"/>
      <c r="AD241" s="6"/>
      <c r="AE241" s="8"/>
      <c r="AF241" s="1"/>
    </row>
    <row r="242" spans="3:32" ht="15.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6"/>
      <c r="AD242" s="6"/>
      <c r="AE242" s="8"/>
      <c r="AF242" s="1"/>
    </row>
    <row r="243" spans="3:32" ht="15.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6"/>
      <c r="AD243" s="6"/>
      <c r="AE243" s="8"/>
      <c r="AF243" s="1"/>
    </row>
    <row r="244" spans="3:32" ht="15.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6"/>
      <c r="AD244" s="6"/>
      <c r="AE244" s="8"/>
      <c r="AF244" s="1"/>
    </row>
    <row r="245" spans="3:32" ht="15.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6"/>
      <c r="AD245" s="6"/>
      <c r="AE245" s="8"/>
      <c r="AF245" s="1"/>
    </row>
    <row r="246" spans="3:32" ht="15.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6"/>
      <c r="AD246" s="6"/>
      <c r="AE246" s="8"/>
      <c r="AF246" s="1"/>
    </row>
    <row r="247" spans="3:32" ht="15.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6"/>
      <c r="AD247" s="6"/>
      <c r="AE247" s="8"/>
      <c r="AF247" s="1"/>
    </row>
    <row r="248" spans="3:32" ht="15.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6"/>
      <c r="AD248" s="6"/>
      <c r="AE248" s="8"/>
      <c r="AF248" s="1"/>
    </row>
    <row r="249" spans="3:32" ht="15.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6"/>
      <c r="AD249" s="6"/>
      <c r="AE249" s="8"/>
      <c r="AF249" s="1"/>
    </row>
    <row r="250" spans="3:32" ht="15.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6"/>
      <c r="AD250" s="6"/>
      <c r="AE250" s="8"/>
      <c r="AF250" s="1"/>
    </row>
    <row r="251" spans="3:32" ht="15.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6"/>
      <c r="AD251" s="6"/>
      <c r="AE251" s="8"/>
      <c r="AF251" s="1"/>
    </row>
    <row r="252" spans="3:32" ht="15.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6"/>
      <c r="AD252" s="6"/>
      <c r="AE252" s="8"/>
      <c r="AF252" s="1"/>
    </row>
    <row r="253" spans="3:32" ht="15.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6"/>
      <c r="AD253" s="6"/>
      <c r="AE253" s="8"/>
      <c r="AF253" s="1"/>
    </row>
    <row r="254" spans="3:32" ht="15.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6"/>
      <c r="AD254" s="6"/>
      <c r="AE254" s="8"/>
      <c r="AF254" s="1"/>
    </row>
    <row r="255" spans="3:32" ht="15.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6"/>
      <c r="AD255" s="6"/>
      <c r="AE255" s="8"/>
      <c r="AF255" s="1"/>
    </row>
    <row r="256" spans="3:32" ht="15.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6"/>
      <c r="AD256" s="6"/>
      <c r="AE256" s="8"/>
      <c r="AF256" s="1"/>
    </row>
    <row r="257" spans="3:32" ht="15.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6"/>
      <c r="AD257" s="6"/>
      <c r="AE257" s="8"/>
      <c r="AF257" s="1"/>
    </row>
    <row r="258" spans="3:32" ht="15.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6"/>
      <c r="AD258" s="6"/>
      <c r="AE258" s="8"/>
      <c r="AF258" s="1"/>
    </row>
    <row r="259" spans="3:32" ht="15.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6"/>
      <c r="AD259" s="6"/>
      <c r="AE259" s="8"/>
      <c r="AF259" s="1"/>
    </row>
    <row r="260" spans="3:32" ht="15.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6"/>
      <c r="AD260" s="6"/>
      <c r="AE260" s="8"/>
      <c r="AF260" s="1"/>
    </row>
    <row r="261" spans="3:32" ht="15.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6"/>
      <c r="AD261" s="6"/>
      <c r="AE261" s="8"/>
      <c r="AF261" s="1"/>
    </row>
    <row r="262" spans="3:32" ht="15.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6"/>
      <c r="AD262" s="6"/>
      <c r="AE262" s="8"/>
      <c r="AF262" s="1"/>
    </row>
    <row r="263" spans="3:32" ht="15.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6"/>
      <c r="AD263" s="6"/>
      <c r="AE263" s="8"/>
      <c r="AF263" s="1"/>
    </row>
    <row r="264" spans="3:32" ht="15.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6"/>
      <c r="AD264" s="6"/>
      <c r="AE264" s="8"/>
      <c r="AF264" s="1"/>
    </row>
    <row r="265" spans="3:32" ht="15.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6"/>
      <c r="AD265" s="6"/>
      <c r="AE265" s="8"/>
      <c r="AF265" s="1"/>
    </row>
    <row r="266" spans="3:32" ht="15.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6"/>
      <c r="AD266" s="6"/>
      <c r="AE266" s="8"/>
      <c r="AF266" s="1"/>
    </row>
    <row r="267" spans="3:32" ht="15.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6"/>
      <c r="AD267" s="6"/>
      <c r="AE267" s="8"/>
      <c r="AF267" s="1"/>
    </row>
    <row r="268" spans="3:32" ht="15.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6"/>
      <c r="AD268" s="6"/>
      <c r="AE268" s="8"/>
      <c r="AF268" s="1"/>
    </row>
    <row r="269" spans="3:32" ht="15.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6"/>
      <c r="AD269" s="6"/>
      <c r="AE269" s="8"/>
      <c r="AF269" s="1"/>
    </row>
    <row r="270" spans="3:32" ht="15.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6"/>
      <c r="AD270" s="6"/>
      <c r="AE270" s="8"/>
      <c r="AF270" s="1"/>
    </row>
    <row r="271" spans="3:32" ht="15.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6"/>
      <c r="AD271" s="6"/>
      <c r="AE271" s="8"/>
      <c r="AF271" s="1"/>
    </row>
    <row r="272" spans="3:32" ht="15.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6"/>
      <c r="AD272" s="6"/>
      <c r="AE272" s="8"/>
      <c r="AF272" s="1"/>
    </row>
    <row r="273" spans="3:32" ht="15.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6"/>
      <c r="AD273" s="6"/>
      <c r="AE273" s="8"/>
      <c r="AF273" s="1"/>
    </row>
    <row r="274" spans="3:32" ht="15.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6"/>
      <c r="AD274" s="6"/>
      <c r="AE274" s="8"/>
      <c r="AF274" s="1"/>
    </row>
    <row r="275" spans="3:32" ht="15.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6"/>
      <c r="AD275" s="6"/>
      <c r="AE275" s="8"/>
      <c r="AF275" s="1"/>
    </row>
    <row r="276" spans="3:32" ht="15.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6"/>
      <c r="AD276" s="6"/>
      <c r="AE276" s="8"/>
      <c r="AF276" s="1"/>
    </row>
    <row r="277" spans="3:32" ht="15.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6"/>
      <c r="AD277" s="6"/>
      <c r="AE277" s="8"/>
      <c r="AF277" s="1"/>
    </row>
    <row r="278" spans="3:32" ht="15.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6"/>
      <c r="AD278" s="6"/>
      <c r="AE278" s="8"/>
      <c r="AF278" s="1"/>
    </row>
    <row r="279" spans="3:32" ht="15.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6"/>
      <c r="AD279" s="6"/>
      <c r="AE279" s="8"/>
      <c r="AF279" s="1"/>
    </row>
    <row r="280" spans="3:32" ht="15.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6"/>
      <c r="AD280" s="6"/>
      <c r="AE280" s="8"/>
      <c r="AF280" s="1"/>
    </row>
    <row r="281" spans="3:32" ht="15.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6"/>
      <c r="AD281" s="6"/>
      <c r="AE281" s="8"/>
      <c r="AF281" s="1"/>
    </row>
    <row r="282" spans="3:32" ht="15.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6"/>
      <c r="AD282" s="6"/>
      <c r="AE282" s="8"/>
      <c r="AF282" s="1"/>
    </row>
    <row r="283" spans="3:32" ht="15.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6"/>
      <c r="AD283" s="6"/>
      <c r="AE283" s="8"/>
      <c r="AF283" s="1"/>
    </row>
    <row r="284" spans="3:32" ht="15.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6"/>
      <c r="AD284" s="6"/>
      <c r="AE284" s="8"/>
      <c r="AF284" s="1"/>
    </row>
    <row r="285" spans="3:32" ht="15.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6"/>
      <c r="AD285" s="6"/>
      <c r="AE285" s="8"/>
      <c r="AF285" s="1"/>
    </row>
    <row r="286" spans="3:32" ht="15.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6"/>
      <c r="AD286" s="6"/>
      <c r="AE286" s="8"/>
      <c r="AF286" s="1"/>
    </row>
    <row r="287" spans="3:32" ht="15.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6"/>
      <c r="AD287" s="6"/>
      <c r="AE287" s="8"/>
      <c r="AF287" s="1"/>
    </row>
    <row r="288" spans="3:32" ht="15.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6"/>
      <c r="AD288" s="6"/>
      <c r="AE288" s="8"/>
      <c r="AF288" s="1"/>
    </row>
    <row r="289" spans="3:32" ht="15.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6"/>
      <c r="AD289" s="6"/>
      <c r="AE289" s="8"/>
      <c r="AF289" s="1"/>
    </row>
    <row r="290" spans="3:32" ht="15.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6"/>
      <c r="AD290" s="6"/>
      <c r="AE290" s="8"/>
      <c r="AF290" s="1"/>
    </row>
    <row r="291" spans="3:32" ht="15.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6"/>
      <c r="AD291" s="6"/>
      <c r="AE291" s="8"/>
      <c r="AF291" s="1"/>
    </row>
    <row r="292" spans="3:32" ht="15.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6"/>
      <c r="AD292" s="6"/>
      <c r="AE292" s="8"/>
      <c r="AF292" s="1"/>
    </row>
    <row r="293" spans="3:32" ht="15.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6"/>
      <c r="AD293" s="6"/>
      <c r="AE293" s="8"/>
      <c r="AF293" s="1"/>
    </row>
    <row r="294" spans="3:32" ht="15.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6"/>
      <c r="AD294" s="6"/>
      <c r="AE294" s="8"/>
      <c r="AF294" s="1"/>
    </row>
    <row r="295" spans="3:32" ht="15.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6"/>
      <c r="AD295" s="6"/>
      <c r="AE295" s="8"/>
      <c r="AF295" s="1"/>
    </row>
    <row r="296" spans="3:32" ht="15.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6"/>
      <c r="AD296" s="6"/>
      <c r="AE296" s="8"/>
      <c r="AF296" s="1"/>
    </row>
    <row r="297" spans="3:32" ht="15.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6"/>
      <c r="AD297" s="6"/>
      <c r="AE297" s="8"/>
      <c r="AF297" s="1"/>
    </row>
    <row r="298" spans="3:32" ht="15.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6"/>
      <c r="AD298" s="6"/>
      <c r="AE298" s="8"/>
      <c r="AF298" s="1"/>
    </row>
    <row r="299" spans="3:32" ht="15.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6"/>
      <c r="AD299" s="6"/>
      <c r="AE299" s="8"/>
      <c r="AF299" s="1"/>
    </row>
    <row r="300" spans="3:32" ht="15.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6"/>
      <c r="AD300" s="6"/>
      <c r="AE300" s="8"/>
      <c r="AF300" s="1"/>
    </row>
    <row r="301" spans="3:32" ht="15.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6"/>
      <c r="AD301" s="6"/>
      <c r="AE301" s="8"/>
      <c r="AF301" s="1"/>
    </row>
    <row r="302" spans="3:32" ht="15.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6"/>
      <c r="AD302" s="6"/>
      <c r="AE302" s="8"/>
      <c r="AF302" s="1"/>
    </row>
    <row r="303" spans="3:32" ht="15.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6"/>
      <c r="AD303" s="6"/>
      <c r="AE303" s="8"/>
      <c r="AF303" s="1"/>
    </row>
    <row r="304" spans="3:32" ht="15.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6"/>
      <c r="AD304" s="6"/>
      <c r="AE304" s="8"/>
      <c r="AF304" s="1"/>
    </row>
    <row r="305" spans="3:32" ht="15.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6"/>
      <c r="AD305" s="6"/>
      <c r="AE305" s="8"/>
      <c r="AF305" s="1"/>
    </row>
    <row r="306" spans="3:32" ht="15.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6"/>
      <c r="AD306" s="6"/>
      <c r="AE306" s="8"/>
      <c r="AF306" s="1"/>
    </row>
    <row r="307" spans="3:32" ht="15.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6"/>
      <c r="AD307" s="6"/>
      <c r="AE307" s="8"/>
      <c r="AF307" s="1"/>
    </row>
    <row r="308" spans="3:32" ht="15.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6"/>
      <c r="AD308" s="6"/>
      <c r="AE308" s="8"/>
      <c r="AF308" s="1"/>
    </row>
    <row r="309" spans="3:32" ht="15.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6"/>
      <c r="AD309" s="6"/>
      <c r="AE309" s="8"/>
      <c r="AF309" s="1"/>
    </row>
    <row r="310" spans="3:32" ht="15.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6"/>
      <c r="AD310" s="6"/>
      <c r="AE310" s="8"/>
      <c r="AF310" s="1"/>
    </row>
    <row r="311" spans="3:32" ht="15.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6"/>
      <c r="AD311" s="6"/>
      <c r="AE311" s="8"/>
      <c r="AF311" s="1"/>
    </row>
    <row r="312" spans="3:32" ht="15.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6"/>
      <c r="AD312" s="6"/>
      <c r="AE312" s="8"/>
      <c r="AF312" s="1"/>
    </row>
    <row r="313" spans="3:32" ht="15.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6"/>
      <c r="AD313" s="6"/>
      <c r="AE313" s="8"/>
      <c r="AF313" s="1"/>
    </row>
    <row r="314" spans="3:32" ht="15.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6"/>
      <c r="AD314" s="6"/>
      <c r="AE314" s="8"/>
      <c r="AF314" s="1"/>
    </row>
    <row r="315" spans="3:32" ht="15.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6"/>
      <c r="AD315" s="6"/>
      <c r="AE315" s="8"/>
      <c r="AF315" s="1"/>
    </row>
    <row r="316" spans="3:32" ht="15.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6"/>
      <c r="AD316" s="6"/>
      <c r="AE316" s="8"/>
      <c r="AF316" s="1"/>
    </row>
    <row r="317" spans="3:32" ht="15.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6"/>
      <c r="AD317" s="6"/>
      <c r="AE317" s="8"/>
      <c r="AF317" s="1"/>
    </row>
    <row r="318" spans="3:32" ht="15.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6"/>
      <c r="AD318" s="6"/>
      <c r="AE318" s="8"/>
      <c r="AF318" s="1"/>
    </row>
    <row r="319" spans="3:32" ht="15.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6"/>
      <c r="AD319" s="6"/>
      <c r="AE319" s="8"/>
      <c r="AF319" s="1"/>
    </row>
    <row r="320" spans="3:32" ht="15.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6"/>
      <c r="AD320" s="6"/>
      <c r="AE320" s="8"/>
      <c r="AF320" s="1"/>
    </row>
    <row r="321" spans="3:32" ht="15.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6"/>
      <c r="AD321" s="6"/>
      <c r="AE321" s="8"/>
      <c r="AF321" s="1"/>
    </row>
    <row r="322" spans="3:32" ht="15.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6"/>
      <c r="AD322" s="6"/>
      <c r="AE322" s="8"/>
      <c r="AF322" s="1"/>
    </row>
    <row r="323" spans="3:32" ht="15.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6"/>
      <c r="AD323" s="6"/>
      <c r="AE323" s="8"/>
      <c r="AF323" s="1"/>
    </row>
    <row r="324" spans="3:32" ht="15.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6"/>
      <c r="AD324" s="6"/>
      <c r="AE324" s="8"/>
      <c r="AF324" s="1"/>
    </row>
    <row r="325" spans="3:32" ht="15.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6"/>
      <c r="AD325" s="6"/>
      <c r="AE325" s="8"/>
      <c r="AF325" s="1"/>
    </row>
    <row r="326" spans="3:32" ht="15.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6"/>
      <c r="AD326" s="6"/>
      <c r="AE326" s="8"/>
      <c r="AF326" s="1"/>
    </row>
    <row r="327" spans="3:32" ht="15.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6"/>
      <c r="AD327" s="6"/>
      <c r="AE327" s="8"/>
      <c r="AF327" s="1"/>
    </row>
    <row r="328" spans="3:32" ht="15.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6"/>
      <c r="AD328" s="6"/>
      <c r="AE328" s="8"/>
      <c r="AF328" s="1"/>
    </row>
    <row r="329" spans="3:32" ht="15.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6"/>
      <c r="AD329" s="6"/>
      <c r="AE329" s="8"/>
      <c r="AF329" s="1"/>
    </row>
    <row r="330" spans="3:32" ht="15.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6"/>
      <c r="AD330" s="6"/>
      <c r="AE330" s="8"/>
      <c r="AF330" s="1"/>
    </row>
    <row r="331" spans="3:32" ht="15.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6"/>
      <c r="AD331" s="6"/>
      <c r="AE331" s="8"/>
      <c r="AF331" s="1"/>
    </row>
    <row r="332" spans="3:32" ht="15.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6"/>
      <c r="AD332" s="6"/>
      <c r="AE332" s="8"/>
      <c r="AF332" s="1"/>
    </row>
    <row r="333" spans="3:32" ht="15.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6"/>
      <c r="AD333" s="6"/>
      <c r="AE333" s="8"/>
      <c r="AF333" s="1"/>
    </row>
    <row r="334" spans="3:32" ht="15.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6"/>
      <c r="AD334" s="6"/>
      <c r="AE334" s="8"/>
      <c r="AF334" s="1"/>
    </row>
    <row r="335" spans="3:32" ht="15.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6"/>
      <c r="AD335" s="6"/>
      <c r="AE335" s="8"/>
      <c r="AF335" s="1"/>
    </row>
    <row r="336" spans="3:32" ht="15.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6"/>
      <c r="AD336" s="6"/>
      <c r="AE336" s="8"/>
      <c r="AF336" s="1"/>
    </row>
    <row r="337" spans="3:32" ht="15.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6"/>
      <c r="AD337" s="6"/>
      <c r="AE337" s="8"/>
      <c r="AF337" s="1"/>
    </row>
    <row r="338" spans="3:32" ht="15.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6"/>
      <c r="AD338" s="6"/>
      <c r="AE338" s="8"/>
      <c r="AF338" s="1"/>
    </row>
    <row r="339" spans="3:32" ht="15.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6"/>
      <c r="AD339" s="6"/>
      <c r="AE339" s="8"/>
      <c r="AF339" s="1"/>
    </row>
    <row r="340" spans="3:32" ht="15.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6"/>
      <c r="AD340" s="6"/>
      <c r="AE340" s="8"/>
      <c r="AF340" s="1"/>
    </row>
    <row r="341" spans="3:32" ht="15.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6"/>
      <c r="AD341" s="6"/>
      <c r="AE341" s="8"/>
      <c r="AF341" s="1"/>
    </row>
    <row r="342" spans="3:32" ht="15.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6"/>
      <c r="AD342" s="6"/>
      <c r="AE342" s="8"/>
      <c r="AF342" s="1"/>
    </row>
    <row r="343" spans="3:32" ht="15.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6"/>
      <c r="AD343" s="6"/>
      <c r="AE343" s="8"/>
      <c r="AF343" s="1"/>
    </row>
    <row r="344" spans="3:32" ht="15.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6"/>
      <c r="AD344" s="6"/>
      <c r="AE344" s="8"/>
      <c r="AF344" s="1"/>
    </row>
    <row r="345" spans="3:32" ht="15.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6"/>
      <c r="AD345" s="6"/>
      <c r="AE345" s="8"/>
      <c r="AF345" s="1"/>
    </row>
    <row r="346" spans="3:32" ht="15.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6"/>
      <c r="AD346" s="6"/>
      <c r="AE346" s="8"/>
      <c r="AF346" s="1"/>
    </row>
    <row r="347" spans="3:32" ht="15.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6"/>
      <c r="AD347" s="6"/>
      <c r="AE347" s="8"/>
      <c r="AF347" s="1"/>
    </row>
    <row r="348" spans="3:32" ht="15.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6"/>
      <c r="AD348" s="6"/>
      <c r="AE348" s="8"/>
      <c r="AF348" s="1"/>
    </row>
    <row r="349" spans="3:32" ht="15.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6"/>
      <c r="AD349" s="6"/>
      <c r="AE349" s="8"/>
      <c r="AF349" s="1"/>
    </row>
    <row r="350" spans="3:32" ht="15.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6"/>
      <c r="AD350" s="6"/>
      <c r="AE350" s="8"/>
      <c r="AF350" s="1"/>
    </row>
    <row r="351" spans="3:32" ht="15.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6"/>
      <c r="AD351" s="6"/>
      <c r="AE351" s="8"/>
      <c r="AF351" s="1"/>
    </row>
    <row r="352" spans="3:32" ht="15.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6"/>
      <c r="AD352" s="6"/>
      <c r="AE352" s="8"/>
      <c r="AF352" s="1"/>
    </row>
    <row r="353" spans="3:32" ht="15.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6"/>
      <c r="AD353" s="6"/>
      <c r="AE353" s="8"/>
      <c r="AF353" s="1"/>
    </row>
    <row r="354" spans="3:32" ht="15.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6"/>
      <c r="AD354" s="6"/>
      <c r="AE354" s="8"/>
      <c r="AF354" s="1"/>
    </row>
    <row r="355" spans="3:32" ht="15.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6"/>
      <c r="AD355" s="6"/>
      <c r="AE355" s="8"/>
      <c r="AF355" s="1"/>
    </row>
    <row r="356" spans="3:32" ht="15.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6"/>
      <c r="AD356" s="6"/>
      <c r="AE356" s="8"/>
      <c r="AF356" s="1"/>
    </row>
    <row r="357" spans="3:32" ht="15.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6"/>
      <c r="AD357" s="6"/>
      <c r="AE357" s="8"/>
      <c r="AF357" s="1"/>
    </row>
    <row r="358" spans="3:32" ht="15.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6"/>
      <c r="AD358" s="6"/>
      <c r="AE358" s="8"/>
      <c r="AF358" s="1"/>
    </row>
    <row r="359" spans="3:32" ht="15.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6"/>
      <c r="AD359" s="6"/>
      <c r="AE359" s="8"/>
      <c r="AF359" s="1"/>
    </row>
    <row r="360" spans="3:32" ht="15.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6"/>
      <c r="AD360" s="6"/>
      <c r="AE360" s="8"/>
      <c r="AF360" s="1"/>
    </row>
    <row r="361" spans="3:32" ht="15.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6"/>
      <c r="AD361" s="6"/>
      <c r="AE361" s="8"/>
      <c r="AF361" s="1"/>
    </row>
    <row r="362" spans="3:32" ht="15.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6"/>
      <c r="AD362" s="6"/>
      <c r="AE362" s="8"/>
      <c r="AF362" s="1"/>
    </row>
    <row r="363" spans="3:32" ht="15.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6"/>
      <c r="AD363" s="6"/>
      <c r="AE363" s="8"/>
      <c r="AF363" s="1"/>
    </row>
    <row r="364" spans="3:32" ht="15.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6"/>
      <c r="AD364" s="6"/>
      <c r="AE364" s="8"/>
      <c r="AF364" s="1"/>
    </row>
    <row r="365" spans="3:32" ht="15.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6"/>
      <c r="AD365" s="6"/>
      <c r="AE365" s="8"/>
      <c r="AF365" s="1"/>
    </row>
    <row r="366" spans="3:32" ht="15.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6"/>
      <c r="AD366" s="6"/>
      <c r="AE366" s="8"/>
      <c r="AF366" s="1"/>
    </row>
    <row r="367" spans="3:32" ht="15.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6"/>
      <c r="AD367" s="6"/>
      <c r="AE367" s="8"/>
      <c r="AF367" s="1"/>
    </row>
    <row r="368" spans="3:32" ht="15.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6"/>
      <c r="AD368" s="6"/>
      <c r="AE368" s="8"/>
      <c r="AF368" s="1"/>
    </row>
    <row r="369" spans="3:32" ht="15.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6"/>
      <c r="AD369" s="6"/>
      <c r="AE369" s="8"/>
      <c r="AF369" s="1"/>
    </row>
    <row r="370" spans="3:32" ht="15.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6"/>
      <c r="AD370" s="6"/>
      <c r="AE370" s="8"/>
      <c r="AF370" s="1"/>
    </row>
    <row r="371" spans="3:32" ht="15.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6"/>
      <c r="AD371" s="6"/>
      <c r="AE371" s="8"/>
      <c r="AF371" s="1"/>
    </row>
    <row r="372" spans="3:32" ht="15.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6"/>
      <c r="AD372" s="6"/>
      <c r="AE372" s="8"/>
      <c r="AF372" s="1"/>
    </row>
    <row r="373" spans="3:32" ht="15.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6"/>
      <c r="AD373" s="6"/>
      <c r="AE373" s="8"/>
      <c r="AF373" s="1"/>
    </row>
    <row r="374" spans="3:32" ht="15.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6"/>
      <c r="AD374" s="6"/>
      <c r="AE374" s="8"/>
      <c r="AF374" s="1"/>
    </row>
    <row r="375" spans="3:32" ht="15.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6"/>
      <c r="AD375" s="6"/>
      <c r="AE375" s="8"/>
      <c r="AF375" s="1"/>
    </row>
    <row r="376" spans="3:32" ht="15.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6"/>
      <c r="AD376" s="6"/>
      <c r="AE376" s="8"/>
      <c r="AF376" s="1"/>
    </row>
    <row r="377" spans="3:32" ht="15.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6"/>
      <c r="AD377" s="6"/>
      <c r="AE377" s="8"/>
      <c r="AF377" s="1"/>
    </row>
    <row r="378" spans="3:32" ht="15.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6"/>
      <c r="AD378" s="6"/>
      <c r="AE378" s="8"/>
      <c r="AF378" s="1"/>
    </row>
    <row r="379" spans="3:32" ht="15.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6"/>
      <c r="AD379" s="6"/>
      <c r="AE379" s="8"/>
      <c r="AF379" s="1"/>
    </row>
    <row r="380" spans="3:32" ht="15.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6"/>
      <c r="AD380" s="6"/>
      <c r="AE380" s="8"/>
      <c r="AF380" s="1"/>
    </row>
    <row r="381" spans="3:32" ht="15.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6"/>
      <c r="AD381" s="6"/>
      <c r="AE381" s="8"/>
      <c r="AF381" s="1"/>
    </row>
    <row r="382" spans="3:32" ht="15.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6"/>
      <c r="AD382" s="6"/>
      <c r="AE382" s="8"/>
      <c r="AF382" s="1"/>
    </row>
    <row r="383" spans="3:32" ht="15.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6"/>
      <c r="AD383" s="6"/>
      <c r="AE383" s="8"/>
      <c r="AF383" s="1"/>
    </row>
    <row r="384" spans="3:32" ht="15.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6"/>
      <c r="AD384" s="6"/>
      <c r="AE384" s="8"/>
      <c r="AF384" s="1"/>
    </row>
    <row r="385" spans="3:32" ht="15.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6"/>
      <c r="AD385" s="6"/>
      <c r="AE385" s="8"/>
      <c r="AF385" s="1"/>
    </row>
    <row r="386" spans="3:32" ht="15.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6"/>
      <c r="AD386" s="6"/>
      <c r="AE386" s="8"/>
      <c r="AF386" s="1"/>
    </row>
    <row r="387" spans="3:32" ht="15.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6"/>
      <c r="AD387" s="6"/>
      <c r="AE387" s="8"/>
      <c r="AF387" s="1"/>
    </row>
    <row r="388" spans="3:32" ht="15.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6"/>
      <c r="AD388" s="6"/>
      <c r="AE388" s="8"/>
      <c r="AF388" s="1"/>
    </row>
    <row r="389" spans="3:32" ht="15.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6"/>
      <c r="AD389" s="6"/>
      <c r="AE389" s="8"/>
      <c r="AF389" s="1"/>
    </row>
    <row r="390" spans="3:32" ht="15.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6"/>
      <c r="AD390" s="6"/>
      <c r="AE390" s="8"/>
      <c r="AF390" s="1"/>
    </row>
    <row r="391" spans="3:32" ht="15.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6"/>
      <c r="AD391" s="6"/>
      <c r="AE391" s="8"/>
      <c r="AF391" s="1"/>
    </row>
    <row r="392" spans="3:32" ht="15.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6"/>
      <c r="AD392" s="6"/>
      <c r="AE392" s="8"/>
      <c r="AF392" s="1"/>
    </row>
    <row r="393" spans="3:32" ht="15.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6"/>
      <c r="AD393" s="6"/>
      <c r="AE393" s="8"/>
      <c r="AF393" s="1"/>
    </row>
    <row r="394" spans="3:32" ht="15.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6"/>
      <c r="AD394" s="6"/>
      <c r="AE394" s="8"/>
      <c r="AF394" s="1"/>
    </row>
    <row r="395" spans="3:32" ht="15.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6"/>
      <c r="AD395" s="6"/>
      <c r="AE395" s="8"/>
      <c r="AF395" s="1"/>
    </row>
    <row r="396" spans="3:32" ht="15.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6"/>
      <c r="AD396" s="6"/>
      <c r="AE396" s="8"/>
      <c r="AF396" s="1"/>
    </row>
    <row r="397" spans="3:32" ht="15.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6"/>
      <c r="AD397" s="6"/>
      <c r="AE397" s="8"/>
      <c r="AF397" s="1"/>
    </row>
    <row r="398" spans="3:32" ht="15.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6"/>
      <c r="AD398" s="6"/>
      <c r="AE398" s="8"/>
      <c r="AF398" s="1"/>
    </row>
    <row r="399" spans="3:32" ht="15.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6"/>
      <c r="AD399" s="6"/>
      <c r="AE399" s="8"/>
      <c r="AF399" s="1"/>
    </row>
    <row r="400" spans="3:32" ht="15.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6"/>
      <c r="AD400" s="6"/>
      <c r="AE400" s="8"/>
      <c r="AF400" s="1"/>
    </row>
    <row r="401" spans="3:32" ht="15.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6"/>
      <c r="AD401" s="6"/>
      <c r="AE401" s="8"/>
      <c r="AF401" s="1"/>
    </row>
    <row r="402" spans="3:32" ht="15.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6"/>
      <c r="AD402" s="6"/>
      <c r="AE402" s="8"/>
      <c r="AF402" s="1"/>
    </row>
    <row r="403" spans="3:32" ht="15.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6"/>
      <c r="AD403" s="6"/>
      <c r="AE403" s="8"/>
      <c r="AF403" s="1"/>
    </row>
    <row r="404" spans="3:32" ht="15.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6"/>
      <c r="AD404" s="6"/>
      <c r="AE404" s="8"/>
      <c r="AF404" s="1"/>
    </row>
    <row r="405" spans="3:32" ht="15.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6"/>
      <c r="AD405" s="6"/>
      <c r="AE405" s="8"/>
      <c r="AF405" s="1"/>
    </row>
    <row r="406" spans="3:32" ht="15.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6"/>
      <c r="AD406" s="6"/>
      <c r="AE406" s="8"/>
      <c r="AF406" s="1"/>
    </row>
    <row r="407" spans="3:32" ht="15.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6"/>
      <c r="AD407" s="6"/>
      <c r="AE407" s="8"/>
      <c r="AF407" s="1"/>
    </row>
    <row r="408" spans="3:32" ht="15.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6"/>
      <c r="AD408" s="6"/>
      <c r="AE408" s="8"/>
      <c r="AF408" s="1"/>
    </row>
    <row r="409" spans="3:32" ht="15.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6"/>
      <c r="AD409" s="6"/>
      <c r="AE409" s="8"/>
      <c r="AF409" s="1"/>
    </row>
    <row r="410" spans="3:32" ht="15.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6"/>
      <c r="AD410" s="6"/>
      <c r="AE410" s="8"/>
      <c r="AF410" s="1"/>
    </row>
    <row r="411" spans="3:32" ht="15.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6"/>
      <c r="AD411" s="6"/>
      <c r="AE411" s="8"/>
      <c r="AF411" s="1"/>
    </row>
    <row r="412" spans="3:32" ht="15.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6"/>
      <c r="AD412" s="6"/>
      <c r="AE412" s="8"/>
      <c r="AF412" s="1"/>
    </row>
    <row r="413" spans="3:32" ht="15.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6"/>
      <c r="AD413" s="6"/>
      <c r="AE413" s="8"/>
      <c r="AF413" s="1"/>
    </row>
    <row r="414" spans="3:32" ht="15.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6"/>
      <c r="AD414" s="6"/>
      <c r="AE414" s="8"/>
      <c r="AF414" s="1"/>
    </row>
    <row r="415" spans="3:32" ht="15.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6"/>
      <c r="AD415" s="6"/>
      <c r="AE415" s="8"/>
      <c r="AF415" s="1"/>
    </row>
    <row r="416" spans="3:32" ht="15.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6"/>
      <c r="AD416" s="6"/>
      <c r="AE416" s="8"/>
      <c r="AF416" s="1"/>
    </row>
    <row r="417" spans="3:32" ht="15.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6"/>
      <c r="AD417" s="6"/>
      <c r="AE417" s="8"/>
      <c r="AF417" s="1"/>
    </row>
    <row r="418" spans="3:32" ht="15.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6"/>
      <c r="AD418" s="6"/>
      <c r="AE418" s="8"/>
      <c r="AF418" s="1"/>
    </row>
    <row r="419" spans="3:32" ht="15.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6"/>
      <c r="AD419" s="6"/>
      <c r="AE419" s="8"/>
      <c r="AF419" s="1"/>
    </row>
    <row r="420" spans="3:32" ht="15.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6"/>
      <c r="AD420" s="6"/>
      <c r="AE420" s="8"/>
      <c r="AF420" s="1"/>
    </row>
    <row r="421" spans="3:32" ht="15.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6"/>
      <c r="AD421" s="6"/>
      <c r="AE421" s="8"/>
      <c r="AF421" s="1"/>
    </row>
    <row r="422" spans="3:32" ht="15.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6"/>
      <c r="AD422" s="6"/>
      <c r="AE422" s="8"/>
      <c r="AF422" s="1"/>
    </row>
    <row r="423" spans="3:32" ht="15.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6"/>
      <c r="AD423" s="6"/>
      <c r="AE423" s="8"/>
      <c r="AF423" s="1"/>
    </row>
    <row r="424" spans="3:32" ht="15.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6"/>
      <c r="AD424" s="6"/>
      <c r="AE424" s="8"/>
      <c r="AF424" s="1"/>
    </row>
    <row r="425" spans="3:32" ht="15.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6"/>
      <c r="AD425" s="6"/>
      <c r="AE425" s="8"/>
      <c r="AF425" s="1"/>
    </row>
    <row r="426" spans="3:32" ht="15.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6"/>
      <c r="AD426" s="6"/>
      <c r="AE426" s="8"/>
      <c r="AF426" s="1"/>
    </row>
    <row r="427" spans="3:32" ht="15.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6"/>
      <c r="AD427" s="6"/>
      <c r="AE427" s="8"/>
      <c r="AF427" s="1"/>
    </row>
    <row r="428" spans="3:32" ht="15.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6"/>
      <c r="AD428" s="6"/>
      <c r="AE428" s="8"/>
      <c r="AF428" s="1"/>
    </row>
    <row r="429" spans="3:32" ht="15.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6"/>
      <c r="AD429" s="6"/>
      <c r="AE429" s="8"/>
      <c r="AF429" s="1"/>
    </row>
    <row r="430" spans="3:32" ht="15.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6"/>
      <c r="AD430" s="6"/>
      <c r="AE430" s="8"/>
      <c r="AF430" s="1"/>
    </row>
    <row r="431" spans="3:32" ht="15.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6"/>
      <c r="AD431" s="6"/>
      <c r="AE431" s="8"/>
      <c r="AF431" s="1"/>
    </row>
    <row r="432" spans="3:32" ht="15.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6"/>
      <c r="AD432" s="6"/>
      <c r="AE432" s="8"/>
      <c r="AF432" s="1"/>
    </row>
    <row r="433" spans="3:32" ht="15.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6"/>
      <c r="AD433" s="6"/>
      <c r="AE433" s="8"/>
      <c r="AF433" s="1"/>
    </row>
    <row r="434" spans="3:32" ht="15.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6"/>
      <c r="AD434" s="6"/>
      <c r="AE434" s="8"/>
      <c r="AF434" s="1"/>
    </row>
    <row r="435" spans="3:32" ht="15.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6"/>
      <c r="AD435" s="6"/>
      <c r="AE435" s="8"/>
      <c r="AF435" s="1"/>
    </row>
    <row r="436" spans="3:32" ht="15.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6"/>
      <c r="AD436" s="6"/>
      <c r="AE436" s="8"/>
      <c r="AF436" s="1"/>
    </row>
    <row r="437" spans="3:32" ht="15.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6"/>
      <c r="AD437" s="6"/>
      <c r="AE437" s="8"/>
      <c r="AF437" s="1"/>
    </row>
    <row r="438" spans="3:32" ht="15.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6"/>
      <c r="AD438" s="6"/>
      <c r="AE438" s="8"/>
      <c r="AF438" s="1"/>
    </row>
    <row r="439" spans="3:32" ht="15.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6"/>
      <c r="AD439" s="6"/>
      <c r="AE439" s="8"/>
      <c r="AF439" s="1"/>
    </row>
    <row r="440" spans="3:32" ht="15.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6"/>
      <c r="AD440" s="6"/>
      <c r="AE440" s="8"/>
      <c r="AF440" s="1"/>
    </row>
    <row r="441" spans="3:32" ht="15.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6"/>
      <c r="AD441" s="6"/>
      <c r="AE441" s="8"/>
      <c r="AF441" s="1"/>
    </row>
    <row r="442" spans="3:32" ht="15.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6"/>
      <c r="AD442" s="6"/>
      <c r="AE442" s="8"/>
      <c r="AF442" s="1"/>
    </row>
    <row r="443" spans="3:32" ht="15.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6"/>
      <c r="AD443" s="6"/>
      <c r="AE443" s="8"/>
      <c r="AF443" s="1"/>
    </row>
    <row r="444" spans="3:32" ht="15.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6"/>
      <c r="AD444" s="6"/>
      <c r="AE444" s="8"/>
      <c r="AF444" s="1"/>
    </row>
    <row r="445" spans="3:32" ht="15.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6"/>
      <c r="AD445" s="6"/>
      <c r="AE445" s="8"/>
      <c r="AF445" s="1"/>
    </row>
    <row r="446" spans="3:32" ht="15.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6"/>
      <c r="AD446" s="6"/>
      <c r="AE446" s="8"/>
      <c r="AF446" s="1"/>
    </row>
    <row r="447" spans="3:32" ht="15.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6"/>
      <c r="AD447" s="6"/>
      <c r="AE447" s="8"/>
      <c r="AF447" s="1"/>
    </row>
    <row r="448" spans="3:32" ht="15.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6"/>
      <c r="AD448" s="6"/>
      <c r="AE448" s="8"/>
      <c r="AF448" s="1"/>
    </row>
    <row r="449" spans="3:32" ht="15.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6"/>
      <c r="AD449" s="6"/>
      <c r="AE449" s="8"/>
      <c r="AF449" s="1"/>
    </row>
    <row r="450" spans="3:32" ht="15.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6"/>
      <c r="AD450" s="6"/>
      <c r="AE450" s="8"/>
      <c r="AF450" s="1"/>
    </row>
    <row r="451" spans="3:32" ht="15.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6"/>
      <c r="AD451" s="6"/>
      <c r="AE451" s="8"/>
      <c r="AF451" s="1"/>
    </row>
    <row r="452" spans="3:32" ht="15.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6"/>
      <c r="AD452" s="6"/>
      <c r="AE452" s="8"/>
      <c r="AF452" s="1"/>
    </row>
    <row r="453" spans="3:32" ht="15.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6"/>
      <c r="AD453" s="6"/>
      <c r="AE453" s="8"/>
      <c r="AF453" s="1"/>
    </row>
    <row r="454" spans="3:32" ht="15.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6"/>
      <c r="AD454" s="6"/>
      <c r="AE454" s="8"/>
      <c r="AF454" s="1"/>
    </row>
    <row r="455" spans="3:32" ht="15.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6"/>
      <c r="AD455" s="6"/>
      <c r="AE455" s="8"/>
      <c r="AF455" s="1"/>
    </row>
    <row r="456" spans="3:32" ht="15.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6"/>
      <c r="AD456" s="6"/>
      <c r="AE456" s="8"/>
      <c r="AF456" s="1"/>
    </row>
    <row r="457" spans="3:32" ht="15.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6"/>
      <c r="AD457" s="6"/>
      <c r="AE457" s="8"/>
      <c r="AF457" s="1"/>
    </row>
    <row r="458" spans="3:32" ht="15.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6"/>
      <c r="AD458" s="6"/>
      <c r="AE458" s="8"/>
      <c r="AF458" s="1"/>
    </row>
    <row r="459" spans="3:32" ht="15.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6"/>
      <c r="AD459" s="6"/>
      <c r="AE459" s="8"/>
      <c r="AF459" s="1"/>
    </row>
    <row r="460" spans="3:32" ht="15.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6"/>
      <c r="AD460" s="6"/>
      <c r="AE460" s="8"/>
      <c r="AF460" s="1"/>
    </row>
    <row r="461" spans="3:32" ht="15.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6"/>
      <c r="AD461" s="6"/>
      <c r="AE461" s="8"/>
      <c r="AF461" s="1"/>
    </row>
    <row r="462" spans="3:32" ht="15.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6"/>
      <c r="AD462" s="6"/>
      <c r="AE462" s="8"/>
      <c r="AF462" s="1"/>
    </row>
    <row r="463" spans="3:32" ht="15.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6"/>
      <c r="AD463" s="6"/>
      <c r="AE463" s="8"/>
      <c r="AF463" s="1"/>
    </row>
    <row r="464" spans="3:32" ht="15.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6"/>
      <c r="AD464" s="6"/>
      <c r="AE464" s="8"/>
      <c r="AF464" s="1"/>
    </row>
    <row r="465" spans="3:32" ht="15.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6"/>
      <c r="AD465" s="6"/>
      <c r="AE465" s="8"/>
      <c r="AF465" s="1"/>
    </row>
    <row r="466" spans="3:32" ht="15.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6"/>
      <c r="AD466" s="6"/>
      <c r="AE466" s="8"/>
      <c r="AF466" s="1"/>
    </row>
    <row r="467" spans="3:32" ht="15.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6"/>
      <c r="AD467" s="6"/>
      <c r="AE467" s="8"/>
      <c r="AF467" s="1"/>
    </row>
    <row r="468" spans="3:32" ht="15.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6"/>
      <c r="AD468" s="6"/>
      <c r="AE468" s="8"/>
      <c r="AF468" s="1"/>
    </row>
    <row r="469" spans="3:32" ht="15.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6"/>
      <c r="AD469" s="6"/>
      <c r="AE469" s="8"/>
      <c r="AF469" s="1"/>
    </row>
    <row r="470" spans="3:32" ht="15.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6"/>
      <c r="AD470" s="6"/>
      <c r="AE470" s="8"/>
      <c r="AF470" s="1"/>
    </row>
    <row r="471" spans="3:32" ht="15.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6"/>
      <c r="AD471" s="6"/>
      <c r="AE471" s="8"/>
      <c r="AF471" s="1"/>
    </row>
    <row r="472" spans="3:32" ht="15.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6"/>
      <c r="AD472" s="6"/>
      <c r="AE472" s="8"/>
      <c r="AF472" s="1"/>
    </row>
    <row r="473" spans="3:32" ht="15.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6"/>
      <c r="AD473" s="6"/>
      <c r="AE473" s="8"/>
      <c r="AF473" s="1"/>
    </row>
    <row r="474" spans="3:32" ht="15.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6"/>
      <c r="AD474" s="6"/>
      <c r="AE474" s="8"/>
      <c r="AF474" s="1"/>
    </row>
    <row r="475" spans="3:32" ht="15.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6"/>
      <c r="AD475" s="6"/>
      <c r="AE475" s="8"/>
      <c r="AF475" s="1"/>
    </row>
    <row r="476" spans="3:32" ht="15.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6"/>
      <c r="AD476" s="6"/>
      <c r="AE476" s="8"/>
      <c r="AF476" s="1"/>
    </row>
    <row r="477" spans="3:32" ht="15.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6"/>
      <c r="AD477" s="6"/>
      <c r="AE477" s="8"/>
      <c r="AF477" s="1"/>
    </row>
    <row r="478" spans="3:32" ht="15.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6"/>
      <c r="AD478" s="6"/>
      <c r="AE478" s="8"/>
      <c r="AF478" s="1"/>
    </row>
    <row r="479" spans="3:32" ht="15.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6"/>
      <c r="AD479" s="6"/>
      <c r="AE479" s="8"/>
      <c r="AF479" s="1"/>
    </row>
    <row r="480" spans="3:32" ht="15.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6"/>
      <c r="AD480" s="6"/>
      <c r="AE480" s="8"/>
      <c r="AF480" s="1"/>
    </row>
    <row r="481" spans="3:32" ht="15.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6"/>
      <c r="AD481" s="6"/>
      <c r="AE481" s="8"/>
      <c r="AF481" s="1"/>
    </row>
    <row r="482" spans="3:32" ht="15.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6"/>
      <c r="AD482" s="6"/>
      <c r="AE482" s="8"/>
      <c r="AF482" s="1"/>
    </row>
    <row r="483" spans="3:32" ht="15.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6"/>
      <c r="AD483" s="6"/>
      <c r="AE483" s="8"/>
      <c r="AF483" s="1"/>
    </row>
    <row r="484" spans="3:32" ht="15.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6"/>
      <c r="AD484" s="6"/>
      <c r="AE484" s="8"/>
      <c r="AF484" s="1"/>
    </row>
    <row r="485" spans="3:32" ht="15.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6"/>
      <c r="AD485" s="6"/>
      <c r="AE485" s="8"/>
      <c r="AF485" s="1"/>
    </row>
    <row r="486" spans="3:32" ht="15.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6"/>
      <c r="AD486" s="6"/>
      <c r="AE486" s="8"/>
      <c r="AF486" s="1"/>
    </row>
    <row r="487" spans="3:32" ht="15.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6"/>
      <c r="AD487" s="6"/>
      <c r="AE487" s="8"/>
      <c r="AF487" s="1"/>
    </row>
    <row r="488" spans="3:32" ht="15.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6"/>
      <c r="AD488" s="6"/>
      <c r="AE488" s="8"/>
      <c r="AF488" s="1"/>
    </row>
    <row r="489" spans="3:32" ht="15.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6"/>
      <c r="AD489" s="6"/>
      <c r="AE489" s="8"/>
      <c r="AF489" s="1"/>
    </row>
    <row r="490" spans="3:32" ht="15.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6"/>
      <c r="AD490" s="6"/>
      <c r="AE490" s="8"/>
      <c r="AF490" s="1"/>
    </row>
    <row r="491" spans="3:32" ht="15.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6"/>
      <c r="AD491" s="6"/>
      <c r="AE491" s="8"/>
      <c r="AF491" s="1"/>
    </row>
    <row r="492" spans="3:32" ht="15.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6"/>
      <c r="AD492" s="6"/>
      <c r="AE492" s="8"/>
      <c r="AF492" s="1"/>
    </row>
    <row r="493" spans="3:32" ht="15.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6"/>
      <c r="AD493" s="6"/>
      <c r="AE493" s="8"/>
      <c r="AF493" s="1"/>
    </row>
    <row r="494" spans="3:32" ht="15.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6"/>
      <c r="AD494" s="6"/>
      <c r="AE494" s="8"/>
      <c r="AF494" s="1"/>
    </row>
    <row r="495" spans="3:32" ht="15.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6"/>
      <c r="AD495" s="6"/>
      <c r="AE495" s="8"/>
      <c r="AF495" s="1"/>
    </row>
    <row r="496" spans="3:32" ht="15.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6"/>
      <c r="AD496" s="6"/>
      <c r="AE496" s="8"/>
      <c r="AF496" s="1"/>
    </row>
    <row r="497" spans="3:32" ht="15.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6"/>
      <c r="AD497" s="6"/>
      <c r="AE497" s="8"/>
      <c r="AF497" s="1"/>
    </row>
    <row r="498" spans="3:32" ht="15.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6"/>
      <c r="AD498" s="6"/>
      <c r="AE498" s="8"/>
      <c r="AF498" s="1"/>
    </row>
    <row r="499" spans="3:32" ht="15.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6"/>
      <c r="AD499" s="6"/>
      <c r="AE499" s="8"/>
      <c r="AF499" s="1"/>
    </row>
    <row r="500" spans="3:32" ht="15.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6"/>
      <c r="AD500" s="6"/>
      <c r="AE500" s="8"/>
      <c r="AF500" s="1"/>
    </row>
    <row r="501" spans="3:32" ht="15.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6"/>
      <c r="AD501" s="6"/>
      <c r="AE501" s="8"/>
      <c r="AF501" s="1"/>
    </row>
    <row r="502" spans="3:32" ht="15.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6"/>
      <c r="AD502" s="6"/>
      <c r="AE502" s="8"/>
      <c r="AF502" s="1"/>
    </row>
    <row r="503" spans="3:32" ht="15.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6"/>
      <c r="AD503" s="6"/>
      <c r="AE503" s="8"/>
      <c r="AF503" s="1"/>
    </row>
    <row r="504" spans="3:32" ht="15.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6"/>
      <c r="AD504" s="6"/>
      <c r="AE504" s="8"/>
      <c r="AF504" s="1"/>
    </row>
    <row r="505" spans="3:32" ht="15.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6"/>
      <c r="AD505" s="6"/>
      <c r="AE505" s="8"/>
      <c r="AF505" s="1"/>
    </row>
    <row r="506" spans="3:32" ht="15.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6"/>
      <c r="AD506" s="6"/>
      <c r="AE506" s="8"/>
      <c r="AF506" s="1"/>
    </row>
    <row r="507" spans="3:32" ht="15.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6"/>
      <c r="AD507" s="6"/>
      <c r="AE507" s="8"/>
      <c r="AF507" s="1"/>
    </row>
    <row r="508" spans="3:32" ht="15.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6"/>
      <c r="AD508" s="6"/>
      <c r="AE508" s="8"/>
      <c r="AF508" s="1"/>
    </row>
    <row r="509" spans="3:32" ht="15.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6"/>
      <c r="AD509" s="6"/>
      <c r="AE509" s="8"/>
      <c r="AF509" s="1"/>
    </row>
    <row r="510" spans="3:32" ht="15.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6"/>
      <c r="AD510" s="6"/>
      <c r="AE510" s="8"/>
      <c r="AF510" s="1"/>
    </row>
    <row r="511" spans="3:32" ht="15.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6"/>
      <c r="AD511" s="6"/>
      <c r="AE511" s="8"/>
      <c r="AF511" s="1"/>
    </row>
    <row r="512" spans="3:32" ht="15.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6"/>
      <c r="AD512" s="6"/>
      <c r="AE512" s="8"/>
      <c r="AF512" s="1"/>
    </row>
    <row r="513" spans="3:32" ht="15.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6"/>
      <c r="AD513" s="6"/>
      <c r="AE513" s="8"/>
      <c r="AF513" s="1"/>
    </row>
    <row r="514" spans="3:32" ht="15.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6"/>
      <c r="AD514" s="6"/>
      <c r="AE514" s="8"/>
      <c r="AF514" s="1"/>
    </row>
    <row r="515" spans="3:32" ht="15.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6"/>
      <c r="AD515" s="6"/>
      <c r="AE515" s="8"/>
      <c r="AF515" s="1"/>
    </row>
    <row r="516" spans="3:32" ht="15.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6"/>
      <c r="AD516" s="6"/>
      <c r="AE516" s="8"/>
      <c r="AF516" s="1"/>
    </row>
    <row r="517" spans="3:32" ht="15.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6"/>
      <c r="AD517" s="6"/>
      <c r="AE517" s="8"/>
      <c r="AF517" s="1"/>
    </row>
    <row r="518" spans="3:32" ht="15.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6"/>
      <c r="AD518" s="6"/>
      <c r="AE518" s="8"/>
      <c r="AF518" s="1"/>
    </row>
    <row r="519" spans="3:32" ht="15.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6"/>
      <c r="AD519" s="6"/>
      <c r="AE519" s="8"/>
      <c r="AF519" s="1"/>
    </row>
    <row r="520" spans="3:32" ht="15.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6"/>
      <c r="AD520" s="6"/>
      <c r="AE520" s="8"/>
      <c r="AF520" s="1"/>
    </row>
    <row r="521" spans="3:32" ht="15.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6"/>
      <c r="AD521" s="6"/>
      <c r="AE521" s="8"/>
      <c r="AF521" s="1"/>
    </row>
    <row r="522" spans="3:32" ht="15.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6"/>
      <c r="AD522" s="6"/>
      <c r="AE522" s="8"/>
      <c r="AF522" s="1"/>
    </row>
    <row r="523" spans="3:32" ht="15.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6"/>
      <c r="AD523" s="6"/>
      <c r="AE523" s="8"/>
      <c r="AF523" s="1"/>
    </row>
    <row r="524" spans="3:32" ht="15.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6"/>
      <c r="AD524" s="6"/>
      <c r="AE524" s="8"/>
      <c r="AF524" s="1"/>
    </row>
    <row r="525" spans="3:32" ht="15.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6"/>
      <c r="AD525" s="6"/>
      <c r="AE525" s="8"/>
      <c r="AF525" s="1"/>
    </row>
    <row r="526" spans="3:32" ht="15.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6"/>
      <c r="AD526" s="6"/>
      <c r="AE526" s="8"/>
      <c r="AF526" s="1"/>
    </row>
    <row r="527" spans="3:32" ht="15.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6"/>
      <c r="AD527" s="6"/>
      <c r="AE527" s="8"/>
      <c r="AF527" s="1"/>
    </row>
    <row r="528" spans="3:32" ht="15.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6"/>
      <c r="AD528" s="6"/>
      <c r="AE528" s="8"/>
      <c r="AF528" s="1"/>
    </row>
    <row r="529" spans="3:32" ht="15.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6"/>
      <c r="AD529" s="6"/>
      <c r="AE529" s="8"/>
      <c r="AF529" s="1"/>
    </row>
    <row r="530" spans="3:32" ht="15.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6"/>
      <c r="AD530" s="6"/>
      <c r="AE530" s="8"/>
      <c r="AF530" s="1"/>
    </row>
    <row r="531" spans="3:32" ht="15.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6"/>
      <c r="AD531" s="6"/>
      <c r="AE531" s="8"/>
      <c r="AF531" s="1"/>
    </row>
    <row r="532" spans="3:32" ht="15.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6"/>
      <c r="AD532" s="6"/>
      <c r="AE532" s="8"/>
      <c r="AF532" s="1"/>
    </row>
    <row r="533" spans="3:32" ht="15.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6"/>
      <c r="AD533" s="6"/>
      <c r="AE533" s="8"/>
      <c r="AF533" s="1"/>
    </row>
    <row r="534" spans="3:32" ht="15.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6"/>
      <c r="AD534" s="6"/>
      <c r="AE534" s="8"/>
      <c r="AF534" s="1"/>
    </row>
    <row r="535" spans="3:32" ht="15.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6"/>
      <c r="AD535" s="6"/>
      <c r="AE535" s="8"/>
      <c r="AF535" s="1"/>
    </row>
    <row r="536" spans="3:32" ht="15.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6"/>
      <c r="AD536" s="6"/>
      <c r="AE536" s="8"/>
      <c r="AF536" s="1"/>
    </row>
    <row r="537" spans="3:32" ht="15.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6"/>
      <c r="AD537" s="6"/>
      <c r="AE537" s="8"/>
      <c r="AF537" s="1"/>
    </row>
    <row r="538" spans="3:32" ht="15.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6"/>
      <c r="AD538" s="6"/>
      <c r="AE538" s="8"/>
      <c r="AF538" s="1"/>
    </row>
    <row r="539" spans="3:32" ht="15.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6"/>
      <c r="AD539" s="6"/>
      <c r="AE539" s="8"/>
      <c r="AF539" s="1"/>
    </row>
    <row r="540" spans="3:32" ht="15.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6"/>
      <c r="AD540" s="6"/>
      <c r="AE540" s="8"/>
      <c r="AF540" s="1"/>
    </row>
    <row r="541" spans="3:32" ht="15.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6"/>
      <c r="AD541" s="6"/>
      <c r="AE541" s="8"/>
      <c r="AF541" s="1"/>
    </row>
    <row r="542" spans="3:32" ht="15.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6"/>
      <c r="AD542" s="6"/>
      <c r="AE542" s="8"/>
      <c r="AF542" s="1"/>
    </row>
    <row r="543" spans="3:32" ht="15.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6"/>
      <c r="AD543" s="6"/>
      <c r="AE543" s="8"/>
      <c r="AF543" s="1"/>
    </row>
    <row r="544" spans="3:32" ht="15.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6"/>
      <c r="AD544" s="6"/>
      <c r="AE544" s="8"/>
      <c r="AF544" s="1"/>
    </row>
    <row r="545" spans="3:32" ht="15.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6"/>
      <c r="AD545" s="6"/>
      <c r="AE545" s="8"/>
      <c r="AF545" s="1"/>
    </row>
    <row r="546" spans="3:32" ht="15.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6"/>
      <c r="AD546" s="6"/>
      <c r="AE546" s="8"/>
      <c r="AF546" s="1"/>
    </row>
    <row r="547" spans="3:32" ht="15.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6"/>
      <c r="AD547" s="6"/>
      <c r="AE547" s="8"/>
      <c r="AF547" s="1"/>
    </row>
    <row r="548" spans="3:32" ht="15.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6"/>
      <c r="AD548" s="6"/>
      <c r="AE548" s="8"/>
      <c r="AF548" s="1"/>
    </row>
    <row r="549" spans="3:32" ht="15.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6"/>
      <c r="AD549" s="6"/>
      <c r="AE549" s="8"/>
      <c r="AF549" s="1"/>
    </row>
    <row r="550" spans="3:32" ht="15.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6"/>
      <c r="AD550" s="6"/>
      <c r="AE550" s="8"/>
      <c r="AF550" s="1"/>
    </row>
    <row r="551" spans="3:32" ht="15.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6"/>
      <c r="AD551" s="6"/>
      <c r="AE551" s="8"/>
      <c r="AF551" s="1"/>
    </row>
    <row r="552" spans="3:32" ht="15.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6"/>
      <c r="AD552" s="6"/>
      <c r="AE552" s="8"/>
      <c r="AF552" s="1"/>
    </row>
    <row r="553" spans="3:32" ht="15.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6"/>
      <c r="AD553" s="6"/>
      <c r="AE553" s="8"/>
      <c r="AF553" s="1"/>
    </row>
    <row r="554" spans="3:32" ht="15.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6"/>
      <c r="AD554" s="6"/>
      <c r="AE554" s="8"/>
      <c r="AF554" s="1"/>
    </row>
    <row r="555" spans="3:32" ht="15.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6"/>
      <c r="AD555" s="6"/>
      <c r="AE555" s="8"/>
      <c r="AF555" s="1"/>
    </row>
    <row r="556" spans="3:32" ht="15.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6"/>
      <c r="AD556" s="6"/>
      <c r="AE556" s="8"/>
      <c r="AF556" s="1"/>
    </row>
    <row r="557" spans="3:32" ht="15.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6"/>
      <c r="AD557" s="6"/>
      <c r="AE557" s="8"/>
      <c r="AF557" s="1"/>
    </row>
    <row r="558" spans="3:32" ht="15.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6"/>
      <c r="AD558" s="6"/>
      <c r="AE558" s="8"/>
      <c r="AF558" s="1"/>
    </row>
    <row r="559" spans="3:32" ht="15.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6"/>
      <c r="AD559" s="6"/>
      <c r="AE559" s="8"/>
      <c r="AF559" s="1"/>
    </row>
    <row r="560" spans="3:32" ht="15.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6"/>
      <c r="AD560" s="6"/>
      <c r="AE560" s="8"/>
      <c r="AF560" s="1"/>
    </row>
    <row r="561" spans="3:32" ht="15.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6"/>
      <c r="AD561" s="6"/>
      <c r="AE561" s="8"/>
      <c r="AF561" s="1"/>
    </row>
    <row r="562" spans="3:32" ht="15.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6"/>
      <c r="AD562" s="6"/>
      <c r="AE562" s="8"/>
      <c r="AF562" s="1"/>
    </row>
    <row r="563" spans="3:32" ht="15.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6"/>
      <c r="AD563" s="6"/>
      <c r="AE563" s="8"/>
      <c r="AF563" s="1"/>
    </row>
    <row r="564" spans="3:32" ht="15.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6"/>
      <c r="AD564" s="6"/>
      <c r="AE564" s="8"/>
      <c r="AF564" s="1"/>
    </row>
    <row r="565" spans="3:32" ht="15.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6"/>
      <c r="AD565" s="6"/>
      <c r="AE565" s="8"/>
      <c r="AF565" s="1"/>
    </row>
    <row r="566" spans="3:32" ht="15.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6"/>
      <c r="AD566" s="6"/>
      <c r="AE566" s="8"/>
      <c r="AF566" s="1"/>
    </row>
    <row r="567" spans="3:32" ht="15.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6"/>
      <c r="AD567" s="6"/>
      <c r="AE567" s="8"/>
      <c r="AF567" s="1"/>
    </row>
    <row r="568" spans="3:32" ht="15.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6"/>
      <c r="AD568" s="6"/>
      <c r="AE568" s="8"/>
      <c r="AF568" s="1"/>
    </row>
    <row r="569" spans="3:32" ht="15.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6"/>
      <c r="AD569" s="6"/>
      <c r="AE569" s="8"/>
      <c r="AF569" s="1"/>
    </row>
    <row r="570" spans="3:32" ht="15.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6"/>
      <c r="AD570" s="6"/>
      <c r="AE570" s="8"/>
      <c r="AF570" s="1"/>
    </row>
    <row r="571" spans="3:32" ht="15.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6"/>
      <c r="AD571" s="6"/>
      <c r="AE571" s="8"/>
      <c r="AF571" s="1"/>
    </row>
    <row r="572" spans="3:32" ht="15.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6"/>
      <c r="AD572" s="6"/>
      <c r="AE572" s="8"/>
      <c r="AF572" s="1"/>
    </row>
    <row r="573" spans="3:32" ht="15.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6"/>
      <c r="AD573" s="6"/>
      <c r="AE573" s="8"/>
      <c r="AF573" s="1"/>
    </row>
    <row r="574" spans="3:32" ht="15.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6"/>
      <c r="AD574" s="6"/>
      <c r="AE574" s="8"/>
      <c r="AF574" s="1"/>
    </row>
    <row r="575" spans="3:32" ht="15.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6"/>
      <c r="AD575" s="6"/>
      <c r="AE575" s="8"/>
      <c r="AF575" s="1"/>
    </row>
    <row r="576" spans="3:32" ht="15.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6"/>
      <c r="AD576" s="6"/>
      <c r="AE576" s="8"/>
      <c r="AF576" s="1"/>
    </row>
    <row r="577" spans="3:32" ht="15.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6"/>
      <c r="AD577" s="6"/>
      <c r="AE577" s="8"/>
      <c r="AF577" s="1"/>
    </row>
    <row r="578" spans="3:32" ht="15.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6"/>
      <c r="AD578" s="6"/>
      <c r="AE578" s="8"/>
      <c r="AF578" s="1"/>
    </row>
    <row r="579" spans="3:32" ht="15.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6"/>
      <c r="AD579" s="6"/>
      <c r="AE579" s="8"/>
      <c r="AF579" s="1"/>
    </row>
    <row r="580" spans="3:32" ht="15.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6"/>
      <c r="AD580" s="6"/>
      <c r="AE580" s="8"/>
      <c r="AF580" s="1"/>
    </row>
    <row r="581" spans="3:32" ht="15.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6"/>
      <c r="AD581" s="6"/>
      <c r="AE581" s="8"/>
      <c r="AF581" s="1"/>
    </row>
    <row r="582" spans="3:32" ht="15.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6"/>
      <c r="AD582" s="6"/>
      <c r="AE582" s="8"/>
      <c r="AF582" s="1"/>
    </row>
    <row r="583" spans="3:32" ht="15.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6"/>
      <c r="AD583" s="6"/>
      <c r="AE583" s="8"/>
      <c r="AF583" s="1"/>
    </row>
    <row r="584" spans="3:32" ht="15.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6"/>
      <c r="AD584" s="6"/>
      <c r="AE584" s="8"/>
      <c r="AF584" s="1"/>
    </row>
    <row r="585" spans="3:32" ht="15.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6"/>
      <c r="AD585" s="6"/>
      <c r="AE585" s="8"/>
      <c r="AF585" s="1"/>
    </row>
    <row r="586" spans="3:32" ht="15.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6"/>
      <c r="AD586" s="6"/>
      <c r="AE586" s="8"/>
      <c r="AF586" s="1"/>
    </row>
    <row r="587" spans="3:32" ht="15.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6"/>
      <c r="AD587" s="6"/>
      <c r="AE587" s="8"/>
      <c r="AF587" s="1"/>
    </row>
    <row r="588" spans="3:32" ht="15.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6"/>
      <c r="AD588" s="6"/>
      <c r="AE588" s="8"/>
      <c r="AF588" s="1"/>
    </row>
    <row r="589" spans="3:32" ht="15.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6"/>
      <c r="AD589" s="6"/>
      <c r="AE589" s="8"/>
      <c r="AF589" s="1"/>
    </row>
    <row r="590" spans="3:32" ht="15.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6"/>
      <c r="AD590" s="6"/>
      <c r="AE590" s="8"/>
      <c r="AF590" s="1"/>
    </row>
    <row r="591" spans="3:32" ht="15.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6"/>
      <c r="AD591" s="6"/>
      <c r="AE591" s="8"/>
      <c r="AF591" s="1"/>
    </row>
    <row r="592" spans="3:32" ht="15.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6"/>
      <c r="AD592" s="6"/>
      <c r="AE592" s="8"/>
      <c r="AF592" s="1"/>
    </row>
    <row r="593" spans="3:32" ht="15.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6"/>
      <c r="AD593" s="6"/>
      <c r="AE593" s="8"/>
      <c r="AF593" s="1"/>
    </row>
    <row r="594" spans="3:32" ht="15.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6"/>
      <c r="AD594" s="6"/>
      <c r="AE594" s="8"/>
      <c r="AF594" s="1"/>
    </row>
    <row r="595" spans="3:32" ht="15.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6"/>
      <c r="AD595" s="6"/>
      <c r="AE595" s="8"/>
      <c r="AF595" s="1"/>
    </row>
    <row r="596" spans="3:32" ht="15.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6"/>
      <c r="AD596" s="6"/>
      <c r="AE596" s="8"/>
      <c r="AF596" s="1"/>
    </row>
    <row r="597" spans="3:32" ht="15.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6"/>
      <c r="AD597" s="6"/>
      <c r="AE597" s="8"/>
      <c r="AF597" s="1"/>
    </row>
    <row r="598" spans="3:32" ht="15.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6"/>
      <c r="AD598" s="6"/>
      <c r="AE598" s="8"/>
      <c r="AF598" s="1"/>
    </row>
    <row r="599" spans="3:32" ht="15.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6"/>
      <c r="AD599" s="6"/>
      <c r="AE599" s="8"/>
      <c r="AF599" s="1"/>
    </row>
    <row r="600" spans="3:32" ht="15.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6"/>
      <c r="AD600" s="6"/>
      <c r="AE600" s="8"/>
      <c r="AF600" s="1"/>
    </row>
    <row r="601" spans="3:32" ht="15.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6"/>
      <c r="AD601" s="6"/>
      <c r="AE601" s="8"/>
      <c r="AF601" s="1"/>
    </row>
    <row r="602" spans="3:32" ht="15.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6"/>
      <c r="AD602" s="6"/>
      <c r="AE602" s="8"/>
      <c r="AF602" s="1"/>
    </row>
    <row r="603" spans="3:32" ht="15.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6"/>
      <c r="AD603" s="6"/>
      <c r="AE603" s="8"/>
      <c r="AF603" s="1"/>
    </row>
    <row r="604" spans="3:32" ht="15.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6"/>
      <c r="AD604" s="6"/>
      <c r="AE604" s="8"/>
      <c r="AF604" s="1"/>
    </row>
    <row r="605" spans="3:32" ht="15.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6"/>
      <c r="AD605" s="6"/>
      <c r="AE605" s="8"/>
      <c r="AF605" s="1"/>
    </row>
    <row r="606" spans="3:32" ht="15.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6"/>
      <c r="AD606" s="6"/>
      <c r="AE606" s="8"/>
      <c r="AF606" s="1"/>
    </row>
    <row r="607" spans="3:32" ht="15.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6"/>
      <c r="AD607" s="6"/>
      <c r="AE607" s="8"/>
      <c r="AF607" s="1"/>
    </row>
    <row r="608" spans="3:32" ht="15.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6"/>
      <c r="AD608" s="6"/>
      <c r="AE608" s="8"/>
      <c r="AF608" s="1"/>
    </row>
    <row r="609" spans="3:32" ht="15.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6"/>
      <c r="AD609" s="6"/>
      <c r="AE609" s="8"/>
      <c r="AF609" s="1"/>
    </row>
    <row r="610" spans="3:32" ht="15.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6"/>
      <c r="AD610" s="6"/>
      <c r="AE610" s="8"/>
      <c r="AF610" s="1"/>
    </row>
    <row r="611" spans="3:32" ht="15.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6"/>
      <c r="AD611" s="6"/>
      <c r="AE611" s="8"/>
      <c r="AF611" s="1"/>
    </row>
    <row r="612" spans="3:32" ht="15.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6"/>
      <c r="AD612" s="6"/>
      <c r="AE612" s="8"/>
      <c r="AF612" s="1"/>
    </row>
    <row r="613" spans="3:32" ht="15.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6"/>
      <c r="AD613" s="6"/>
      <c r="AE613" s="8"/>
      <c r="AF613" s="1"/>
    </row>
    <row r="614" spans="3:32" ht="15.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6"/>
      <c r="AD614" s="6"/>
      <c r="AE614" s="8"/>
      <c r="AF614" s="1"/>
    </row>
    <row r="615" spans="3:32" ht="15.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6"/>
      <c r="AD615" s="6"/>
      <c r="AE615" s="8"/>
      <c r="AF615" s="1"/>
    </row>
    <row r="616" spans="3:32" ht="15.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6"/>
      <c r="AD616" s="6"/>
      <c r="AE616" s="8"/>
      <c r="AF616" s="1"/>
    </row>
    <row r="617" spans="3:32" ht="15.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6"/>
      <c r="AD617" s="6"/>
      <c r="AE617" s="8"/>
      <c r="AF617" s="1"/>
    </row>
    <row r="618" spans="3:32" ht="15.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6"/>
      <c r="AD618" s="6"/>
      <c r="AE618" s="8"/>
      <c r="AF618" s="1"/>
    </row>
    <row r="619" spans="3:32" ht="15.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6"/>
      <c r="AD619" s="6"/>
      <c r="AE619" s="8"/>
      <c r="AF619" s="1"/>
    </row>
    <row r="620" spans="3:32" ht="15.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6"/>
      <c r="AD620" s="6"/>
      <c r="AE620" s="8"/>
      <c r="AF620" s="1"/>
    </row>
    <row r="621" spans="3:32" ht="15.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6"/>
      <c r="AD621" s="6"/>
      <c r="AE621" s="8"/>
      <c r="AF621" s="1"/>
    </row>
    <row r="622" spans="3:32" ht="15.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6"/>
      <c r="AD622" s="6"/>
      <c r="AE622" s="8"/>
      <c r="AF622" s="1"/>
    </row>
    <row r="623" spans="3:32" ht="15.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6"/>
      <c r="AD623" s="6"/>
      <c r="AE623" s="8"/>
      <c r="AF623" s="1"/>
    </row>
    <row r="624" spans="3:32" ht="15.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6"/>
      <c r="AD624" s="6"/>
      <c r="AE624" s="8"/>
      <c r="AF624" s="1"/>
    </row>
    <row r="625" spans="3:32" ht="15.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6"/>
      <c r="AD625" s="6"/>
      <c r="AE625" s="8"/>
      <c r="AF625" s="1"/>
    </row>
    <row r="626" spans="3:32" ht="15.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6"/>
      <c r="AD626" s="6"/>
      <c r="AE626" s="8"/>
      <c r="AF626" s="1"/>
    </row>
    <row r="627" spans="3:32" ht="15.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6"/>
      <c r="AD627" s="6"/>
      <c r="AE627" s="8"/>
      <c r="AF627" s="1"/>
    </row>
    <row r="628" spans="3:32" ht="15.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6"/>
      <c r="AD628" s="6"/>
      <c r="AE628" s="8"/>
      <c r="AF628" s="1"/>
    </row>
    <row r="629" spans="3:32" ht="15.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6"/>
      <c r="AD629" s="6"/>
      <c r="AE629" s="8"/>
      <c r="AF629" s="1"/>
    </row>
    <row r="630" spans="3:32" ht="15.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6"/>
      <c r="AD630" s="6"/>
      <c r="AE630" s="8"/>
      <c r="AF630" s="1"/>
    </row>
    <row r="631" spans="3:32" ht="15.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6"/>
      <c r="AD631" s="6"/>
      <c r="AE631" s="8"/>
      <c r="AF631" s="1"/>
    </row>
    <row r="632" spans="3:32" ht="15.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6"/>
      <c r="AD632" s="6"/>
      <c r="AE632" s="8"/>
      <c r="AF632" s="1"/>
    </row>
    <row r="633" spans="3:32" ht="15.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6"/>
      <c r="AD633" s="6"/>
      <c r="AE633" s="8"/>
      <c r="AF633" s="1"/>
    </row>
    <row r="634" spans="3:32" ht="15.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6"/>
      <c r="AD634" s="6"/>
      <c r="AE634" s="8"/>
      <c r="AF634" s="1"/>
    </row>
    <row r="635" spans="3:32" ht="15.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6"/>
      <c r="AD635" s="6"/>
      <c r="AE635" s="8"/>
      <c r="AF635" s="1"/>
    </row>
    <row r="636" spans="3:32" ht="15.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6"/>
      <c r="AD636" s="6"/>
      <c r="AE636" s="8"/>
      <c r="AF636" s="1"/>
    </row>
    <row r="637" spans="3:32" ht="15.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6"/>
      <c r="AD637" s="6"/>
      <c r="AE637" s="8"/>
      <c r="AF637" s="1"/>
    </row>
    <row r="638" spans="3:32" ht="15.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6"/>
      <c r="AD638" s="6"/>
      <c r="AE638" s="8"/>
      <c r="AF638" s="1"/>
    </row>
    <row r="639" spans="3:32" ht="15.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6"/>
      <c r="AD639" s="6"/>
      <c r="AE639" s="8"/>
      <c r="AF639" s="1"/>
    </row>
    <row r="640" spans="3:32" ht="15.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6"/>
      <c r="AD640" s="6"/>
      <c r="AE640" s="8"/>
      <c r="AF640" s="1"/>
    </row>
    <row r="641" spans="3:32" ht="15.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6"/>
      <c r="AD641" s="6"/>
      <c r="AE641" s="8"/>
      <c r="AF641" s="1"/>
    </row>
    <row r="642" spans="3:32" ht="15.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6"/>
      <c r="AD642" s="6"/>
      <c r="AE642" s="8"/>
      <c r="AF642" s="1"/>
    </row>
    <row r="643" spans="3:32" ht="15.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6"/>
      <c r="AD643" s="6"/>
      <c r="AE643" s="8"/>
      <c r="AF643" s="1"/>
    </row>
    <row r="644" spans="3:32" ht="15.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6"/>
      <c r="AD644" s="6"/>
      <c r="AE644" s="8"/>
      <c r="AF644" s="1"/>
    </row>
    <row r="645" spans="3:32" ht="15.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6"/>
      <c r="AD645" s="6"/>
      <c r="AE645" s="8"/>
      <c r="AF645" s="1"/>
    </row>
    <row r="646" spans="3:32" ht="15.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6"/>
      <c r="AD646" s="6"/>
      <c r="AE646" s="8"/>
      <c r="AF646" s="1"/>
    </row>
    <row r="647" spans="3:32" ht="15.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6"/>
      <c r="AD647" s="6"/>
      <c r="AE647" s="8"/>
      <c r="AF647" s="1"/>
    </row>
    <row r="648" spans="3:32" ht="15.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6"/>
      <c r="AD648" s="6"/>
      <c r="AE648" s="8"/>
      <c r="AF648" s="1"/>
    </row>
    <row r="649" spans="3:32" ht="15.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6"/>
      <c r="AD649" s="6"/>
      <c r="AE649" s="8"/>
      <c r="AF649" s="1"/>
    </row>
    <row r="650" spans="3:32" ht="15.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6"/>
      <c r="AD650" s="6"/>
      <c r="AE650" s="8"/>
      <c r="AF650" s="1"/>
    </row>
    <row r="651" spans="3:32" ht="15.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6"/>
      <c r="AD651" s="6"/>
      <c r="AE651" s="8"/>
      <c r="AF651" s="1"/>
    </row>
    <row r="652" spans="3:32" ht="15.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6"/>
      <c r="AD652" s="6"/>
      <c r="AE652" s="8"/>
      <c r="AF652" s="1"/>
    </row>
    <row r="653" spans="3:32" ht="15.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6"/>
      <c r="AD653" s="6"/>
      <c r="AE653" s="8"/>
      <c r="AF653" s="1"/>
    </row>
    <row r="654" spans="3:32" ht="15.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6"/>
      <c r="AD654" s="6"/>
      <c r="AE654" s="8"/>
      <c r="AF654" s="1"/>
    </row>
    <row r="655" spans="3:32" ht="15.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6"/>
      <c r="AD655" s="6"/>
      <c r="AE655" s="8"/>
      <c r="AF655" s="1"/>
    </row>
    <row r="656" spans="3:32" ht="15.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6"/>
      <c r="AD656" s="6"/>
      <c r="AE656" s="8"/>
      <c r="AF656" s="1"/>
    </row>
    <row r="657" spans="3:32" ht="15.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6"/>
      <c r="AD657" s="6"/>
      <c r="AE657" s="8"/>
      <c r="AF657" s="1"/>
    </row>
    <row r="658" spans="3:32" ht="15.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6"/>
      <c r="AD658" s="6"/>
      <c r="AE658" s="8"/>
      <c r="AF658" s="1"/>
    </row>
    <row r="659" spans="3:32" ht="15.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6"/>
      <c r="AD659" s="6"/>
      <c r="AE659" s="8"/>
      <c r="AF659" s="1"/>
    </row>
    <row r="660" spans="3:32" ht="15.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6"/>
      <c r="AD660" s="6"/>
      <c r="AE660" s="8"/>
      <c r="AF660" s="1"/>
    </row>
    <row r="661" spans="3:32" ht="15.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6"/>
      <c r="AD661" s="6"/>
      <c r="AE661" s="8"/>
      <c r="AF661" s="1"/>
    </row>
    <row r="662" spans="3:32" ht="15.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6"/>
      <c r="AD662" s="6"/>
      <c r="AE662" s="8"/>
      <c r="AF662" s="1"/>
    </row>
    <row r="663" spans="3:32" ht="15.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6"/>
      <c r="AD663" s="6"/>
      <c r="AE663" s="8"/>
      <c r="AF663" s="1"/>
    </row>
    <row r="664" spans="3:32" ht="15.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6"/>
      <c r="AD664" s="6"/>
      <c r="AE664" s="8"/>
      <c r="AF664" s="1"/>
    </row>
    <row r="665" spans="3:32" ht="15.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6"/>
      <c r="AD665" s="6"/>
      <c r="AE665" s="8"/>
      <c r="AF665" s="1"/>
    </row>
    <row r="666" spans="3:32" ht="15.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6"/>
      <c r="AD666" s="6"/>
      <c r="AE666" s="8"/>
      <c r="AF666" s="1"/>
    </row>
    <row r="667" spans="3:32" ht="15.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6"/>
      <c r="AD667" s="6"/>
      <c r="AE667" s="8"/>
      <c r="AF667" s="1"/>
    </row>
    <row r="668" spans="3:32" ht="15.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6"/>
      <c r="AD668" s="6"/>
      <c r="AE668" s="8"/>
      <c r="AF668" s="1"/>
    </row>
    <row r="669" spans="3:32" ht="15.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6"/>
      <c r="AD669" s="6"/>
      <c r="AE669" s="8"/>
      <c r="AF669" s="1"/>
    </row>
    <row r="670" spans="3:32" ht="15.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6"/>
      <c r="AD670" s="6"/>
      <c r="AE670" s="8"/>
      <c r="AF670" s="1"/>
    </row>
    <row r="671" spans="3:32" ht="15.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6"/>
      <c r="AD671" s="6"/>
      <c r="AE671" s="8"/>
      <c r="AF671" s="1"/>
    </row>
    <row r="672" spans="3:32" ht="15.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6"/>
      <c r="AD672" s="6"/>
      <c r="AE672" s="8"/>
      <c r="AF672" s="1"/>
    </row>
    <row r="673" spans="3:32" ht="15.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6"/>
      <c r="AD673" s="6"/>
      <c r="AE673" s="8"/>
      <c r="AF673" s="1"/>
    </row>
    <row r="674" spans="3:32" ht="15.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6"/>
      <c r="AD674" s="6"/>
      <c r="AE674" s="8"/>
      <c r="AF674" s="1"/>
    </row>
    <row r="675" spans="3:32" ht="15.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6"/>
      <c r="AD675" s="6"/>
      <c r="AE675" s="8"/>
      <c r="AF675" s="1"/>
    </row>
    <row r="676" spans="3:32" ht="15.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6"/>
      <c r="AD676" s="6"/>
      <c r="AE676" s="8"/>
      <c r="AF676" s="1"/>
    </row>
    <row r="677" spans="3:32" ht="15.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6"/>
      <c r="AD677" s="6"/>
      <c r="AE677" s="8"/>
      <c r="AF677" s="1"/>
    </row>
    <row r="678" spans="3:32" ht="15.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6"/>
      <c r="AD678" s="6"/>
      <c r="AE678" s="8"/>
      <c r="AF678" s="1"/>
    </row>
    <row r="679" spans="3:32" ht="15.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6"/>
      <c r="AD679" s="6"/>
      <c r="AE679" s="8"/>
      <c r="AF679" s="1"/>
    </row>
    <row r="680" spans="3:32" ht="15.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6"/>
      <c r="AD680" s="6"/>
      <c r="AE680" s="8"/>
      <c r="AF680" s="1"/>
    </row>
    <row r="681" spans="3:32" ht="15.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6"/>
      <c r="AD681" s="6"/>
      <c r="AE681" s="8"/>
      <c r="AF681" s="1"/>
    </row>
    <row r="682" spans="3:32" ht="15.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6"/>
      <c r="AD682" s="6"/>
      <c r="AE682" s="8"/>
      <c r="AF682" s="1"/>
    </row>
    <row r="683" spans="3:32" ht="15.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6"/>
      <c r="AD683" s="6"/>
      <c r="AE683" s="8"/>
      <c r="AF683" s="1"/>
    </row>
    <row r="684" spans="3:32" ht="15.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6"/>
      <c r="AD684" s="6"/>
      <c r="AE684" s="8"/>
      <c r="AF684" s="1"/>
    </row>
    <row r="685" spans="3:32" ht="15.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6"/>
      <c r="AD685" s="6"/>
      <c r="AE685" s="8"/>
      <c r="AF685" s="1"/>
    </row>
    <row r="686" spans="3:32" ht="15.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6"/>
      <c r="AD686" s="6"/>
      <c r="AE686" s="8"/>
      <c r="AF686" s="1"/>
    </row>
    <row r="687" spans="3:32" ht="15.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6"/>
      <c r="AD687" s="6"/>
      <c r="AE687" s="8"/>
      <c r="AF687" s="1"/>
    </row>
    <row r="688" spans="3:32" ht="15.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6"/>
      <c r="AD688" s="6"/>
      <c r="AE688" s="8"/>
      <c r="AF688" s="1"/>
    </row>
    <row r="689" spans="3:32" ht="15.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6"/>
      <c r="AD689" s="6"/>
      <c r="AE689" s="8"/>
      <c r="AF689" s="1"/>
    </row>
    <row r="690" spans="3:32" ht="15.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6"/>
      <c r="AD690" s="6"/>
      <c r="AE690" s="8"/>
      <c r="AF690" s="1"/>
    </row>
    <row r="691" spans="3:32" ht="15.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6"/>
      <c r="AD691" s="6"/>
      <c r="AE691" s="8"/>
      <c r="AF691" s="1"/>
    </row>
    <row r="692" spans="3:32" ht="15.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6"/>
      <c r="AD692" s="6"/>
      <c r="AE692" s="8"/>
      <c r="AF692" s="1"/>
    </row>
    <row r="693" spans="3:32" ht="15.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6"/>
      <c r="AD693" s="6"/>
      <c r="AE693" s="8"/>
      <c r="AF693" s="1"/>
    </row>
    <row r="694" spans="3:32" ht="15.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6"/>
      <c r="AD694" s="6"/>
      <c r="AE694" s="8"/>
      <c r="AF694" s="1"/>
    </row>
    <row r="695" spans="3:32" ht="15.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6"/>
      <c r="AD695" s="6"/>
      <c r="AE695" s="8"/>
      <c r="AF695" s="1"/>
    </row>
    <row r="696" spans="3:32" ht="15.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6"/>
      <c r="AD696" s="6"/>
      <c r="AE696" s="8"/>
      <c r="AF696" s="1"/>
    </row>
    <row r="697" spans="3:32" ht="15.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6"/>
      <c r="AD697" s="6"/>
      <c r="AE697" s="8"/>
      <c r="AF697" s="1"/>
    </row>
    <row r="698" spans="3:32" ht="15.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6"/>
      <c r="AD698" s="6"/>
      <c r="AE698" s="8"/>
      <c r="AF698" s="1"/>
    </row>
    <row r="699" spans="3:32" ht="15.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6"/>
      <c r="AD699" s="6"/>
      <c r="AE699" s="8"/>
      <c r="AF699" s="1"/>
    </row>
    <row r="700" spans="3:32" ht="15.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6"/>
      <c r="AD700" s="6"/>
      <c r="AE700" s="8"/>
      <c r="AF700" s="1"/>
    </row>
    <row r="701" spans="3:32" ht="15.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6"/>
      <c r="AD701" s="6"/>
      <c r="AE701" s="8"/>
      <c r="AF701" s="1"/>
    </row>
    <row r="702" spans="3:32" ht="15.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6"/>
      <c r="AD702" s="6"/>
      <c r="AE702" s="8"/>
      <c r="AF702" s="1"/>
    </row>
    <row r="703" spans="3:32" ht="15.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6"/>
      <c r="AD703" s="6"/>
      <c r="AE703" s="8"/>
      <c r="AF703" s="1"/>
    </row>
    <row r="704" spans="3:32" ht="15.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6"/>
      <c r="AD704" s="6"/>
      <c r="AE704" s="8"/>
      <c r="AF704" s="1"/>
    </row>
    <row r="705" spans="3:32" ht="15.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6"/>
      <c r="AD705" s="6"/>
      <c r="AE705" s="8"/>
      <c r="AF705" s="1"/>
    </row>
    <row r="706" spans="3:32" ht="15.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6"/>
      <c r="AD706" s="6"/>
      <c r="AE706" s="8"/>
      <c r="AF706" s="1"/>
    </row>
    <row r="707" spans="3:32" ht="15.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6"/>
      <c r="AD707" s="6"/>
      <c r="AE707" s="8"/>
      <c r="AF707" s="1"/>
    </row>
    <row r="708" spans="3:32" ht="15.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6"/>
      <c r="AD708" s="6"/>
      <c r="AE708" s="8"/>
      <c r="AF708" s="1"/>
    </row>
    <row r="709" spans="3:32" ht="15.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6"/>
      <c r="AD709" s="6"/>
      <c r="AE709" s="8"/>
      <c r="AF709" s="1"/>
    </row>
    <row r="710" spans="3:32" ht="15.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6"/>
      <c r="AD710" s="6"/>
      <c r="AE710" s="8"/>
      <c r="AF710" s="1"/>
    </row>
    <row r="711" spans="3:32" ht="15.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6"/>
      <c r="AD711" s="6"/>
      <c r="AE711" s="8"/>
      <c r="AF711" s="1"/>
    </row>
    <row r="712" spans="3:32" ht="15.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6"/>
      <c r="AD712" s="6"/>
      <c r="AE712" s="8"/>
      <c r="AF712" s="1"/>
    </row>
    <row r="713" spans="3:32" ht="15.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6"/>
      <c r="AD713" s="6"/>
      <c r="AE713" s="8"/>
      <c r="AF713" s="1"/>
    </row>
    <row r="714" spans="3:32" ht="15.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6"/>
      <c r="AD714" s="6"/>
      <c r="AE714" s="8"/>
      <c r="AF714" s="1"/>
    </row>
    <row r="715" spans="3:32" ht="15.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6"/>
      <c r="AD715" s="6"/>
      <c r="AE715" s="8"/>
      <c r="AF715" s="1"/>
    </row>
    <row r="716" spans="3:32" ht="15.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6"/>
      <c r="AD716" s="6"/>
      <c r="AE716" s="8"/>
      <c r="AF716" s="1"/>
    </row>
    <row r="717" spans="3:32" ht="15.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6"/>
      <c r="AD717" s="6"/>
      <c r="AE717" s="8"/>
      <c r="AF717" s="1"/>
    </row>
    <row r="718" spans="3:32" ht="15.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6"/>
      <c r="AD718" s="6"/>
      <c r="AE718" s="8"/>
      <c r="AF718" s="1"/>
    </row>
    <row r="719" spans="3:32" ht="15.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6"/>
      <c r="AD719" s="6"/>
      <c r="AE719" s="8"/>
      <c r="AF719" s="1"/>
    </row>
    <row r="720" spans="3:32" ht="15.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6"/>
      <c r="AD720" s="6"/>
      <c r="AE720" s="8"/>
      <c r="AF720" s="1"/>
    </row>
    <row r="721" spans="3:32" ht="15.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6"/>
      <c r="AD721" s="6"/>
      <c r="AE721" s="8"/>
      <c r="AF721" s="1"/>
    </row>
    <row r="722" spans="3:32" ht="15.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6"/>
      <c r="AD722" s="6"/>
      <c r="AE722" s="8"/>
      <c r="AF722" s="1"/>
    </row>
    <row r="723" spans="3:32" ht="15.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6"/>
      <c r="AD723" s="6"/>
      <c r="AE723" s="8"/>
      <c r="AF723" s="1"/>
    </row>
    <row r="724" spans="3:32" ht="15.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6"/>
      <c r="AD724" s="6"/>
      <c r="AE724" s="8"/>
      <c r="AF724" s="1"/>
    </row>
    <row r="725" spans="3:32" ht="15.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6"/>
      <c r="AD725" s="6"/>
      <c r="AE725" s="8"/>
      <c r="AF725" s="1"/>
    </row>
    <row r="726" spans="3:32" ht="15.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6"/>
      <c r="AD726" s="6"/>
      <c r="AE726" s="8"/>
      <c r="AF726" s="1"/>
    </row>
    <row r="727" spans="3:32" ht="15.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6"/>
      <c r="AD727" s="6"/>
      <c r="AE727" s="8"/>
      <c r="AF727" s="1"/>
    </row>
    <row r="728" spans="3:32" ht="15.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6"/>
      <c r="AD728" s="6"/>
      <c r="AE728" s="8"/>
      <c r="AF728" s="1"/>
    </row>
    <row r="729" spans="3:32" ht="15.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6"/>
      <c r="AD729" s="6"/>
      <c r="AE729" s="8"/>
      <c r="AF729" s="1"/>
    </row>
    <row r="730" spans="3:32" ht="15.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6"/>
      <c r="AD730" s="6"/>
      <c r="AE730" s="8"/>
      <c r="AF730" s="1"/>
    </row>
    <row r="731" spans="3:32" ht="15.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6"/>
      <c r="AD731" s="6"/>
      <c r="AE731" s="8"/>
      <c r="AF731" s="1"/>
    </row>
    <row r="732" spans="3:32" ht="15.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6"/>
      <c r="AD732" s="6"/>
      <c r="AE732" s="8"/>
      <c r="AF732" s="1"/>
    </row>
    <row r="733" spans="3:32" ht="15.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6"/>
      <c r="AD733" s="6"/>
      <c r="AE733" s="8"/>
      <c r="AF733" s="1"/>
    </row>
    <row r="734" spans="3:32" ht="15.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6"/>
      <c r="AD734" s="6"/>
      <c r="AE734" s="8"/>
      <c r="AF734" s="1"/>
    </row>
    <row r="735" spans="3:32" ht="15.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6"/>
      <c r="AD735" s="6"/>
      <c r="AE735" s="8"/>
      <c r="AF735" s="1"/>
    </row>
    <row r="736" spans="3:32" ht="15.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6"/>
      <c r="AD736" s="6"/>
      <c r="AE736" s="8"/>
      <c r="AF736" s="1"/>
    </row>
    <row r="737" spans="3:32" ht="15.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6"/>
      <c r="AD737" s="6"/>
      <c r="AE737" s="8"/>
      <c r="AF737" s="1"/>
    </row>
    <row r="738" spans="3:32" ht="15.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6"/>
      <c r="AD738" s="6"/>
      <c r="AE738" s="8"/>
      <c r="AF738" s="1"/>
    </row>
    <row r="739" spans="3:32" ht="15.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6"/>
      <c r="AD739" s="6"/>
      <c r="AE739" s="8"/>
      <c r="AF739" s="1"/>
    </row>
    <row r="740" spans="3:32" ht="15.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6"/>
      <c r="AD740" s="6"/>
      <c r="AE740" s="8"/>
      <c r="AF740" s="1"/>
    </row>
    <row r="741" spans="3:32" ht="15.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6"/>
      <c r="AD741" s="6"/>
      <c r="AE741" s="8"/>
      <c r="AF741" s="1"/>
    </row>
    <row r="742" spans="3:32" ht="15.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6"/>
      <c r="AD742" s="6"/>
      <c r="AE742" s="8"/>
      <c r="AF742" s="1"/>
    </row>
    <row r="743" spans="3:32" ht="15.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6"/>
      <c r="AD743" s="6"/>
      <c r="AE743" s="8"/>
      <c r="AF743" s="1"/>
    </row>
    <row r="744" spans="3:32" ht="15.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6"/>
      <c r="AD744" s="6"/>
      <c r="AE744" s="8"/>
      <c r="AF744" s="1"/>
    </row>
    <row r="745" spans="3:32" ht="15.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6"/>
      <c r="AD745" s="6"/>
      <c r="AE745" s="8"/>
      <c r="AF745" s="1"/>
    </row>
    <row r="746" spans="3:32" ht="15.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6"/>
      <c r="AD746" s="6"/>
      <c r="AE746" s="8"/>
      <c r="AF746" s="1"/>
    </row>
    <row r="747" spans="3:32" ht="15.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6"/>
      <c r="AD747" s="6"/>
      <c r="AE747" s="8"/>
      <c r="AF747" s="1"/>
    </row>
    <row r="748" spans="3:32" ht="15.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6"/>
      <c r="AD748" s="6"/>
      <c r="AE748" s="8"/>
      <c r="AF748" s="1"/>
    </row>
    <row r="749" spans="3:32" ht="15.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6"/>
      <c r="AD749" s="6"/>
      <c r="AE749" s="8"/>
      <c r="AF749" s="1"/>
    </row>
    <row r="750" spans="3:32" ht="15.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6"/>
      <c r="AD750" s="6"/>
      <c r="AE750" s="8"/>
      <c r="AF750" s="1"/>
    </row>
    <row r="751" spans="3:32" ht="15.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6"/>
      <c r="AD751" s="6"/>
      <c r="AE751" s="8"/>
      <c r="AF751" s="1"/>
    </row>
    <row r="752" spans="3:32" ht="15.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6"/>
      <c r="AD752" s="6"/>
      <c r="AE752" s="8"/>
      <c r="AF752" s="1"/>
    </row>
    <row r="753" spans="3:32" ht="15.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6"/>
      <c r="AD753" s="6"/>
      <c r="AE753" s="8"/>
      <c r="AF753" s="1"/>
    </row>
    <row r="754" spans="3:32" ht="15.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6"/>
      <c r="AD754" s="6"/>
      <c r="AE754" s="8"/>
      <c r="AF754" s="1"/>
    </row>
    <row r="755" spans="3:32" ht="15.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6"/>
      <c r="AD755" s="6"/>
      <c r="AE755" s="8"/>
      <c r="AF755" s="1"/>
    </row>
    <row r="756" spans="3:32" ht="15.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6"/>
      <c r="AD756" s="6"/>
      <c r="AE756" s="8"/>
      <c r="AF756" s="1"/>
    </row>
    <row r="757" spans="3:32" ht="15.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6"/>
      <c r="AD757" s="6"/>
      <c r="AE757" s="8"/>
      <c r="AF757" s="1"/>
    </row>
    <row r="758" spans="3:32" ht="15.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6"/>
      <c r="AD758" s="6"/>
      <c r="AE758" s="8"/>
      <c r="AF758" s="1"/>
    </row>
    <row r="759" spans="3:32" ht="15.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6"/>
      <c r="AD759" s="6"/>
      <c r="AE759" s="8"/>
      <c r="AF759" s="1"/>
    </row>
    <row r="760" spans="3:32" ht="15.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6"/>
      <c r="AD760" s="6"/>
      <c r="AE760" s="8"/>
      <c r="AF760" s="1"/>
    </row>
    <row r="761" spans="3:32" ht="15.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6"/>
      <c r="AD761" s="6"/>
      <c r="AE761" s="8"/>
      <c r="AF761" s="1"/>
    </row>
    <row r="762" spans="3:32" ht="15.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6"/>
      <c r="AD762" s="6"/>
      <c r="AE762" s="8"/>
      <c r="AF762" s="1"/>
    </row>
    <row r="763" spans="3:32" ht="15.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6"/>
      <c r="AD763" s="6"/>
      <c r="AE763" s="8"/>
      <c r="AF763" s="1"/>
    </row>
    <row r="764" spans="3:32" ht="15.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6"/>
      <c r="AD764" s="6"/>
      <c r="AE764" s="8"/>
      <c r="AF764" s="1"/>
    </row>
    <row r="765" spans="3:32" ht="15.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6"/>
      <c r="AD765" s="6"/>
      <c r="AE765" s="8"/>
      <c r="AF765" s="1"/>
    </row>
    <row r="766" spans="3:32" ht="15.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6"/>
      <c r="AD766" s="6"/>
      <c r="AE766" s="8"/>
      <c r="AF766" s="1"/>
    </row>
    <row r="767" spans="3:32" ht="15.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6"/>
      <c r="AD767" s="6"/>
      <c r="AE767" s="8"/>
      <c r="AF767" s="1"/>
    </row>
    <row r="768" spans="3:32" ht="15.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6"/>
      <c r="AD768" s="6"/>
      <c r="AE768" s="8"/>
      <c r="AF768" s="1"/>
    </row>
    <row r="769" spans="3:32" ht="15.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6"/>
      <c r="AD769" s="6"/>
      <c r="AE769" s="8"/>
      <c r="AF769" s="1"/>
    </row>
    <row r="770" spans="3:32" ht="15.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6"/>
      <c r="AD770" s="6"/>
      <c r="AE770" s="8"/>
      <c r="AF770" s="1"/>
    </row>
    <row r="771" spans="3:32" ht="15.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6"/>
      <c r="AD771" s="6"/>
      <c r="AE771" s="8"/>
      <c r="AF771" s="1"/>
    </row>
    <row r="772" spans="3:32" ht="15.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6"/>
      <c r="AD772" s="6"/>
      <c r="AE772" s="8"/>
      <c r="AF772" s="1"/>
    </row>
    <row r="773" spans="3:32" ht="15.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6"/>
      <c r="AD773" s="6"/>
      <c r="AE773" s="8"/>
      <c r="AF773" s="1"/>
    </row>
    <row r="774" spans="3:32" ht="15.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6"/>
      <c r="AD774" s="6"/>
      <c r="AE774" s="8"/>
      <c r="AF774" s="1"/>
    </row>
    <row r="775" spans="3:32" ht="15.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6"/>
      <c r="AD775" s="6"/>
      <c r="AE775" s="8"/>
      <c r="AF775" s="1"/>
    </row>
    <row r="776" spans="3:32" ht="15.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6"/>
      <c r="AD776" s="6"/>
      <c r="AE776" s="8"/>
      <c r="AF776" s="1"/>
    </row>
    <row r="777" spans="3:32" ht="15.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6"/>
      <c r="AD777" s="6"/>
      <c r="AE777" s="8"/>
      <c r="AF777" s="1"/>
    </row>
    <row r="778" spans="3:32" ht="15.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6"/>
      <c r="AD778" s="6"/>
      <c r="AE778" s="8"/>
      <c r="AF778" s="1"/>
    </row>
    <row r="779" spans="3:32" ht="15.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6"/>
      <c r="AD779" s="6"/>
      <c r="AE779" s="8"/>
      <c r="AF779" s="1"/>
    </row>
    <row r="780" spans="3:32" ht="15.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6"/>
      <c r="AD780" s="6"/>
      <c r="AE780" s="8"/>
      <c r="AF780" s="1"/>
    </row>
    <row r="781" spans="3:32" ht="15.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6"/>
      <c r="AD781" s="6"/>
      <c r="AE781" s="8"/>
      <c r="AF781" s="1"/>
    </row>
    <row r="782" spans="3:32" ht="15.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6"/>
      <c r="AD782" s="6"/>
      <c r="AE782" s="8"/>
      <c r="AF782" s="1"/>
    </row>
    <row r="783" spans="3:32" ht="15.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6"/>
      <c r="AD783" s="6"/>
      <c r="AE783" s="8"/>
      <c r="AF783" s="1"/>
    </row>
    <row r="784" spans="3:32" ht="15.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6"/>
      <c r="AD784" s="6"/>
      <c r="AE784" s="8"/>
      <c r="AF784" s="1"/>
    </row>
    <row r="785" spans="3:32" ht="15.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6"/>
      <c r="AD785" s="6"/>
      <c r="AE785" s="8"/>
      <c r="AF785" s="1"/>
    </row>
    <row r="786" spans="3:32" ht="15.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6"/>
      <c r="AD786" s="6"/>
      <c r="AE786" s="8"/>
      <c r="AF786" s="1"/>
    </row>
    <row r="787" spans="3:32" ht="15.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6"/>
      <c r="AD787" s="6"/>
      <c r="AE787" s="8"/>
      <c r="AF787" s="1"/>
    </row>
    <row r="788" spans="3:32" ht="15.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6"/>
      <c r="AD788" s="6"/>
      <c r="AE788" s="8"/>
      <c r="AF788" s="1"/>
    </row>
    <row r="789" spans="3:32" ht="15.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6"/>
      <c r="AD789" s="6"/>
      <c r="AE789" s="8"/>
      <c r="AF789" s="1"/>
    </row>
    <row r="790" spans="3:32" ht="15.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6"/>
      <c r="AD790" s="6"/>
      <c r="AE790" s="8"/>
      <c r="AF790" s="1"/>
    </row>
    <row r="791" spans="3:32" ht="15.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6"/>
      <c r="AD791" s="6"/>
      <c r="AE791" s="8"/>
      <c r="AF791" s="1"/>
    </row>
    <row r="792" spans="3:32" ht="15.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6"/>
      <c r="AD792" s="6"/>
      <c r="AE792" s="8"/>
      <c r="AF792" s="1"/>
    </row>
    <row r="793" spans="3:32" ht="15.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6"/>
      <c r="AD793" s="6"/>
      <c r="AE793" s="8"/>
      <c r="AF793" s="1"/>
    </row>
    <row r="794" spans="3:32" ht="15.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6"/>
      <c r="AD794" s="6"/>
      <c r="AE794" s="8"/>
      <c r="AF794" s="1"/>
    </row>
    <row r="795" spans="3:32" ht="15.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6"/>
      <c r="AD795" s="6"/>
      <c r="AE795" s="8"/>
      <c r="AF795" s="1"/>
    </row>
    <row r="796" spans="3:32" ht="15.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6"/>
      <c r="AD796" s="6"/>
      <c r="AE796" s="8"/>
      <c r="AF796" s="1"/>
    </row>
    <row r="797" spans="3:32" ht="15.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6"/>
      <c r="AD797" s="6"/>
      <c r="AE797" s="8"/>
      <c r="AF797" s="1"/>
    </row>
    <row r="798" spans="3:32" ht="15.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6"/>
      <c r="AD798" s="6"/>
      <c r="AE798" s="8"/>
      <c r="AF798" s="1"/>
    </row>
    <row r="799" spans="3:32" ht="15.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6"/>
      <c r="AD799" s="6"/>
      <c r="AE799" s="8"/>
      <c r="AF799" s="1"/>
    </row>
    <row r="800" spans="3:32" ht="15.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6"/>
      <c r="AD800" s="6"/>
      <c r="AE800" s="8"/>
      <c r="AF800" s="1"/>
    </row>
    <row r="801" spans="3:32" ht="15.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6"/>
      <c r="AD801" s="6"/>
      <c r="AE801" s="8"/>
      <c r="AF801" s="1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2023-10-20T01:55:12Z</dcterms:created>
  <dcterms:modified xsi:type="dcterms:W3CDTF">2023-10-21T12:20:23Z</dcterms:modified>
</cp:coreProperties>
</file>