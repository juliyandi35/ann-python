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JULI YANDI RAHMAN\Downloads\Kerjaan\Selesai\ANN\"/>
    </mc:Choice>
  </mc:AlternateContent>
  <xr:revisionPtr revIDLastSave="0" documentId="13_ncr:1_{F0F04923-34BC-4A20-A702-1DC69E8BE3DF}" xr6:coauthVersionLast="47" xr6:coauthVersionMax="47" xr10:uidLastSave="{00000000-0000-0000-0000-000000000000}"/>
  <bookViews>
    <workbookView xWindow="-90" yWindow="0" windowWidth="9780" windowHeight="10170" xr2:uid="{00000000-000D-0000-FFFF-FFFF00000000}"/>
  </bookViews>
  <sheets>
    <sheet name="NEW AGATHA" sheetId="12" r:id="rId1"/>
  </sheets>
  <calcPr calcId="191029"/>
  <extLst>
    <ext uri="GoogleSheetsCustomDataVersion2">
      <go:sheetsCustomData xmlns:go="http://customooxmlschemas.google.com/" r:id="rId16" roundtripDataChecksum="M952caZOpYf6Avy953iM9tcfrm7wFP5XiSjru3J2rIU="/>
    </ext>
  </extLst>
</workbook>
</file>

<file path=xl/calcChain.xml><?xml version="1.0" encoding="utf-8"?>
<calcChain xmlns="http://schemas.openxmlformats.org/spreadsheetml/2006/main">
  <c r="D151" i="12" l="1"/>
  <c r="D152" i="12" s="1"/>
  <c r="D153" i="12" s="1"/>
  <c r="D154" i="12" s="1"/>
  <c r="D155" i="12" s="1"/>
  <c r="D156" i="12" s="1"/>
  <c r="D157" i="12" s="1"/>
  <c r="D158" i="12" s="1"/>
  <c r="F128" i="12"/>
  <c r="F127" i="12"/>
  <c r="F126" i="12"/>
  <c r="F125" i="12"/>
  <c r="F45" i="12"/>
  <c r="AJ124" i="12"/>
  <c r="AJ78" i="12"/>
  <c r="AJ15" i="12"/>
  <c r="AJ8" i="12" l="1"/>
  <c r="AJ56" i="12"/>
  <c r="AJ111" i="12"/>
  <c r="AJ100" i="12" l="1"/>
</calcChain>
</file>

<file path=xl/sharedStrings.xml><?xml version="1.0" encoding="utf-8"?>
<sst xmlns="http://schemas.openxmlformats.org/spreadsheetml/2006/main" count="380" uniqueCount="197">
  <si>
    <t>idbank</t>
  </si>
  <si>
    <t>Tahun</t>
  </si>
  <si>
    <t>ROA</t>
  </si>
  <si>
    <t>ROE</t>
  </si>
  <si>
    <t xml:space="preserve">FDR </t>
  </si>
  <si>
    <t xml:space="preserve">BOPO </t>
  </si>
  <si>
    <t>NIM</t>
  </si>
  <si>
    <t>CAR</t>
  </si>
  <si>
    <t>NPF</t>
  </si>
  <si>
    <t>GCG</t>
  </si>
  <si>
    <t>ICSR</t>
  </si>
  <si>
    <t>AUR (PENDAPATAN /TOTAL ASSET)</t>
  </si>
  <si>
    <t>ZAKAT (Rp)</t>
  </si>
  <si>
    <t xml:space="preserve">SYARIAH GOVERNANCE </t>
  </si>
  <si>
    <t>SYARIAH COMPLIACE</t>
  </si>
  <si>
    <t>Jumlah Anggota DPS</t>
  </si>
  <si>
    <t>Kualifikasi pendidikan anggota DPS</t>
  </si>
  <si>
    <t>Frekuensi Rapat DPS</t>
  </si>
  <si>
    <t>Isir</t>
  </si>
  <si>
    <t>PSR</t>
  </si>
  <si>
    <t>PENDIDIKAN</t>
  </si>
  <si>
    <t>PT,BANK ACEH SYARIAH</t>
  </si>
  <si>
    <t>ANGGOTA</t>
  </si>
  <si>
    <t>&lt; 3</t>
  </si>
  <si>
    <t>-</t>
  </si>
  <si>
    <t>PT.TABUNGAN PENSIUNAN SYARIAH</t>
  </si>
  <si>
    <t>PT.BANK SYARIAH MANDIRI</t>
  </si>
  <si>
    <t>2.25%</t>
  </si>
  <si>
    <t>94.40%</t>
  </si>
  <si>
    <t>73.30%</t>
  </si>
  <si>
    <t>13.88%</t>
  </si>
  <si>
    <t>8.00%</t>
  </si>
  <si>
    <t>PT.BANK MUAMALAT INDONESIA</t>
  </si>
  <si>
    <t>-23.94%</t>
  </si>
  <si>
    <t>-23.35%</t>
  </si>
  <si>
    <t>107.15%</t>
  </si>
  <si>
    <t>6.76%</t>
  </si>
  <si>
    <t>65.61%</t>
  </si>
  <si>
    <t>0.58%</t>
  </si>
  <si>
    <t>68.07%</t>
  </si>
  <si>
    <t>15.29%</t>
  </si>
  <si>
    <t>53.33%</t>
  </si>
  <si>
    <t>0.96%</t>
  </si>
  <si>
    <t>97.90%</t>
  </si>
  <si>
    <t>8.95%</t>
  </si>
  <si>
    <t>12.84%</t>
  </si>
  <si>
    <t>4.01%</t>
  </si>
  <si>
    <t>90.00%</t>
  </si>
  <si>
    <t>9.02%</t>
  </si>
  <si>
    <t>4.32%</t>
  </si>
  <si>
    <t>2.01%</t>
  </si>
  <si>
    <t>83.67%</t>
  </si>
  <si>
    <t>10.55%</t>
  </si>
  <si>
    <t>3.43%</t>
  </si>
  <si>
    <t>1.33%</t>
  </si>
  <si>
    <t>76.97%</t>
  </si>
  <si>
    <t>13.04%</t>
  </si>
  <si>
    <t>2.12%</t>
  </si>
  <si>
    <t>1.80%</t>
  </si>
  <si>
    <t>86.03%</t>
  </si>
  <si>
    <t>12.17%</t>
  </si>
  <si>
    <t>2.19%</t>
  </si>
  <si>
    <t>2.53%</t>
  </si>
  <si>
    <t>89.08%</t>
  </si>
  <si>
    <t>16.33%</t>
  </si>
  <si>
    <t>2.00%</t>
  </si>
  <si>
    <t>2.10%</t>
  </si>
  <si>
    <t>83.60%</t>
  </si>
  <si>
    <t>14.23%</t>
  </si>
  <si>
    <t>4.48%</t>
  </si>
  <si>
    <t>2.27%</t>
  </si>
  <si>
    <t>99.16%</t>
  </si>
  <si>
    <t>10.69%</t>
  </si>
  <si>
    <t>2.60%</t>
  </si>
  <si>
    <t>104.41%</t>
  </si>
  <si>
    <t>10.83%</t>
  </si>
  <si>
    <t>3.85%</t>
  </si>
  <si>
    <t>PT.BANK BNI SYARIAH</t>
  </si>
  <si>
    <t>78.60%</t>
  </si>
  <si>
    <t>87.86%</t>
  </si>
  <si>
    <t>2.42%</t>
  </si>
  <si>
    <t>84.99%</t>
  </si>
  <si>
    <t>85.39%</t>
  </si>
  <si>
    <t>1.42%</t>
  </si>
  <si>
    <t>PT.BANK PANIN DUBAI SYARIAH</t>
  </si>
  <si>
    <t>1.99%</t>
  </si>
  <si>
    <t>94.04%</t>
  </si>
  <si>
    <t>25.69%</t>
  </si>
  <si>
    <t>96.43%</t>
  </si>
  <si>
    <t>20.30%</t>
  </si>
  <si>
    <t>PT.BANK JAWA BARAT BANTEN SYARIAH</t>
  </si>
  <si>
    <t>90.33%</t>
  </si>
  <si>
    <t>85.00%</t>
  </si>
  <si>
    <t>20.5%</t>
  </si>
  <si>
    <t>86.00%</t>
  </si>
  <si>
    <t>21.5%</t>
  </si>
  <si>
    <t>0.60%</t>
  </si>
  <si>
    <t>PT.BANK MEGA SYARIAH</t>
  </si>
  <si>
    <t>PT.BCA SYARIAH</t>
  </si>
  <si>
    <t>91.72%</t>
  </si>
  <si>
    <t>PT.BANK SYARIAH BUKOPIN</t>
  </si>
  <si>
    <t>PT.BANK BRI SYARIAH</t>
  </si>
  <si>
    <t>PTBANK VICTORIA SARIAH</t>
  </si>
  <si>
    <t xml:space="preserve">BPD NTB Syariah </t>
  </si>
  <si>
    <t xml:space="preserve">Maybank Syariah Indonesia </t>
  </si>
  <si>
    <t>Keterangan:</t>
  </si>
  <si>
    <t>ICSR : Islamic Corporate Social  Responsibility</t>
  </si>
  <si>
    <t xml:space="preserve">AUR: </t>
  </si>
  <si>
    <t xml:space="preserve"> Asset Utilization Ratio (AUR)</t>
  </si>
  <si>
    <t>Asset Utilization Ratio merupakan total pendapatan yang diperoleh dibagi dengan total aset yang dimiliki oleh perusahaan. Rendahnya tingkat rasio pemanfaatan aset dianggap sebagai akibat dari keputusan investasi yang buruk seperti investasi dalam proyek nilai sekarang bersih yang negatif, atau kegagalan untuk menggunakan aset secara produktif.</t>
  </si>
  <si>
    <t>Syariah Governance adalah variabel yang menjelaskan berapa kali dewan pengawas syariah melakukan rapat</t>
  </si>
  <si>
    <t>Tahun Berdiri</t>
  </si>
  <si>
    <t>Sept 2016</t>
  </si>
  <si>
    <t>Juli 2014</t>
  </si>
  <si>
    <t>Des 2009</t>
  </si>
  <si>
    <t>Mei 2010</t>
  </si>
  <si>
    <t>Des 2008</t>
  </si>
  <si>
    <t>Sept 2018</t>
  </si>
  <si>
    <t>Okt 2010</t>
  </si>
  <si>
    <t>BELUM MENERBITKAN GCG</t>
  </si>
  <si>
    <t>RAPAT DPS</t>
  </si>
  <si>
    <t>EDR</t>
  </si>
  <si>
    <t>tdk buat</t>
  </si>
  <si>
    <t>&lt;5</t>
  </si>
  <si>
    <t xml:space="preserve">Belum Menerbitkan GCG </t>
  </si>
  <si>
    <t>0.5365</t>
  </si>
  <si>
    <t>0.5635</t>
  </si>
  <si>
    <t>0.5625</t>
  </si>
  <si>
    <t>0.5211</t>
  </si>
  <si>
    <t>0.5244</t>
  </si>
  <si>
    <t>0.5272</t>
  </si>
  <si>
    <t>0.5682</t>
  </si>
  <si>
    <t>0.5641</t>
  </si>
  <si>
    <t>0.5990</t>
  </si>
  <si>
    <t>0.9136</t>
  </si>
  <si>
    <t>0.2559</t>
  </si>
  <si>
    <t>0.6719</t>
  </si>
  <si>
    <t>0.2309</t>
  </si>
  <si>
    <t>0.3017</t>
  </si>
  <si>
    <t>0.2772</t>
  </si>
  <si>
    <t>0.7796</t>
  </si>
  <si>
    <t>0.3971</t>
  </si>
  <si>
    <t>0.2252</t>
  </si>
  <si>
    <t>0.0676</t>
  </si>
  <si>
    <t>0.3608</t>
  </si>
  <si>
    <t>0.4104</t>
  </si>
  <si>
    <t>0.2132</t>
  </si>
  <si>
    <t>0.3476</t>
  </si>
  <si>
    <t>0.0677</t>
  </si>
  <si>
    <t>0.0526</t>
  </si>
  <si>
    <t>0.3742</t>
  </si>
  <si>
    <t>0.0103</t>
  </si>
  <si>
    <t>0.0475</t>
  </si>
  <si>
    <t>0.0414</t>
  </si>
  <si>
    <t>0.3977</t>
  </si>
  <si>
    <t>0.4130</t>
  </si>
  <si>
    <t>0.0044</t>
  </si>
  <si>
    <t>0.4658</t>
  </si>
  <si>
    <t>0.3914</t>
  </si>
  <si>
    <t>0.3120</t>
  </si>
  <si>
    <t>0.8715</t>
  </si>
  <si>
    <t>0.8722</t>
  </si>
  <si>
    <t>0.5983</t>
  </si>
  <si>
    <t>0.1404</t>
  </si>
  <si>
    <t>0.1909</t>
  </si>
  <si>
    <t>0.2560</t>
  </si>
  <si>
    <t>0.2285</t>
  </si>
  <si>
    <t>0.2134</t>
  </si>
  <si>
    <t>0.8295</t>
  </si>
  <si>
    <t>0.1917</t>
  </si>
  <si>
    <t>0.0499</t>
  </si>
  <si>
    <t>0.1175</t>
  </si>
  <si>
    <t>0.4498</t>
  </si>
  <si>
    <t>0.7272</t>
  </si>
  <si>
    <t>0.4632</t>
  </si>
  <si>
    <t>0.750</t>
  </si>
  <si>
    <t>0.542</t>
  </si>
  <si>
    <t>0.521</t>
  </si>
  <si>
    <t>0.771</t>
  </si>
  <si>
    <t>0.563</t>
  </si>
  <si>
    <t>0.708</t>
  </si>
  <si>
    <t>0.688</t>
  </si>
  <si>
    <t>0.833</t>
  </si>
  <si>
    <t>0.604</t>
  </si>
  <si>
    <t>0.625</t>
  </si>
  <si>
    <t>0.646</t>
  </si>
  <si>
    <t>0.500</t>
  </si>
  <si>
    <t>0.729</t>
  </si>
  <si>
    <t>0.667</t>
  </si>
  <si>
    <t>0.813</t>
  </si>
  <si>
    <t>0.792</t>
  </si>
  <si>
    <t>0.854</t>
  </si>
  <si>
    <t>0.583</t>
  </si>
  <si>
    <t>0.783</t>
  </si>
  <si>
    <t>0.396</t>
  </si>
  <si>
    <t>0.354</t>
  </si>
  <si>
    <t>0.333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</si>
</sst>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quot;-&quot;_-;_-@"/>
    <numFmt numFmtId="165" formatCode="0.000"/>
    <numFmt numFmtId="166" formatCode="_-* #,##0.000_-;\-* #,##0.000_-;_-* &quot;-&quot;_-;_-@"/>
    <numFmt numFmtId="167" formatCode="#,##0.0000"/>
    <numFmt numFmtId="168" formatCode="0.0000"/>
    <numFmt numFmtId="169" formatCode="mmm\ yyyy"/>
  </numFmts>
  <fonts count="14">
    <font>
      <sz val="11"/>
      <color theme="1"/>
      <name val="Calibri"/>
      <scheme val="minor"/>
    </font>
    <font>
      <sz val="12"/>
      <color theme="1"/>
      <name val="Times New Roman"/>
    </font>
    <font>
      <b/>
      <sz val="12"/>
      <color theme="1"/>
      <name val="Times New Roman"/>
    </font>
    <font>
      <sz val="11"/>
      <name val="Calibri"/>
    </font>
    <font>
      <b/>
      <sz val="12"/>
      <color rgb="FF000000"/>
      <name val="Times New Roman"/>
    </font>
    <font>
      <b/>
      <sz val="12"/>
      <color theme="0"/>
      <name val="Times New Roman"/>
    </font>
    <font>
      <sz val="12"/>
      <color rgb="FF000000"/>
      <name val="Times New Roman"/>
    </font>
    <font>
      <sz val="12"/>
      <color rgb="FF1F1F1F"/>
      <name val="Times New Roman"/>
    </font>
    <font>
      <sz val="11"/>
      <color theme="1"/>
      <name val="Calibri"/>
      <scheme val="minor"/>
    </font>
    <font>
      <sz val="12"/>
      <color theme="1"/>
      <name val="Calibri"/>
      <scheme val="minor"/>
    </font>
    <font>
      <b/>
      <sz val="12"/>
      <color rgb="FF000000"/>
      <name val="Times New Roman"/>
      <family val="1"/>
    </font>
    <font>
      <b/>
      <sz val="12"/>
      <color theme="1"/>
      <name val="Times New Roman"/>
      <family val="1"/>
    </font>
    <font>
      <sz val="12"/>
      <color rgb="FF000000"/>
      <name val="Times New Roman"/>
      <family val="1"/>
    </font>
    <font>
      <sz val="12"/>
      <color theme="1"/>
      <name val="Times New Roman"/>
      <family val="1"/>
    </font>
  </fonts>
  <fills count="11">
    <fill>
      <patternFill patternType="none"/>
    </fill>
    <fill>
      <patternFill patternType="gray125"/>
    </fill>
    <fill>
      <patternFill patternType="solid">
        <fgColor theme="0"/>
        <bgColor theme="0"/>
      </patternFill>
    </fill>
    <fill>
      <patternFill patternType="solid">
        <fgColor rgb="FFFF0000"/>
        <bgColor rgb="FFFF0000"/>
      </patternFill>
    </fill>
    <fill>
      <patternFill patternType="solid">
        <fgColor rgb="FF00B0F0"/>
        <bgColor rgb="FF00B0F0"/>
      </patternFill>
    </fill>
    <fill>
      <patternFill patternType="solid">
        <fgColor rgb="FFFFFF00"/>
        <bgColor rgb="FFFFFF00"/>
      </patternFill>
    </fill>
    <fill>
      <patternFill patternType="solid">
        <fgColor rgb="FFFFFFFF"/>
        <bgColor rgb="FFFFFFFF"/>
      </patternFill>
    </fill>
    <fill>
      <patternFill patternType="solid">
        <fgColor theme="4"/>
        <bgColor theme="4"/>
      </patternFill>
    </fill>
    <fill>
      <patternFill patternType="solid">
        <fgColor rgb="FFF8F8FB"/>
        <bgColor rgb="FFF8F8FB"/>
      </patternFill>
    </fill>
    <fill>
      <patternFill patternType="solid">
        <fgColor rgb="FF3C78D8"/>
        <bgColor rgb="FF3C78D8"/>
      </patternFill>
    </fill>
    <fill>
      <patternFill patternType="solid">
        <fgColor theme="0"/>
        <bgColor rgb="FFFF0000"/>
      </patternFill>
    </fill>
  </fills>
  <borders count="19">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cellStyleXfs>
  <cellXfs count="139">
    <xf numFmtId="0" fontId="0" fillId="0" borderId="0" xfId="0"/>
    <xf numFmtId="0" fontId="1" fillId="3" borderId="1" xfId="0" applyFont="1" applyFill="1" applyBorder="1" applyAlignment="1">
      <alignment horizontal="right"/>
    </xf>
    <xf numFmtId="0" fontId="1" fillId="4" borderId="1" xfId="0" applyFont="1" applyFill="1" applyBorder="1" applyAlignment="1">
      <alignment horizontal="right"/>
    </xf>
    <xf numFmtId="0" fontId="1" fillId="0" borderId="0" xfId="0" applyFont="1" applyAlignment="1">
      <alignment horizontal="right"/>
    </xf>
    <xf numFmtId="0" fontId="1" fillId="5" borderId="1" xfId="0" applyFont="1" applyFill="1" applyBorder="1" applyAlignment="1">
      <alignment horizontal="center"/>
    </xf>
    <xf numFmtId="0" fontId="1" fillId="5" borderId="5" xfId="0" applyFont="1" applyFill="1" applyBorder="1" applyAlignment="1">
      <alignment horizontal="left"/>
    </xf>
    <xf numFmtId="0" fontId="4" fillId="5" borderId="6" xfId="0" applyFont="1" applyFill="1" applyBorder="1" applyAlignment="1">
      <alignment horizontal="center" vertical="center" wrapText="1"/>
    </xf>
    <xf numFmtId="0" fontId="4" fillId="5" borderId="6"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6" xfId="0" applyFont="1" applyFill="1" applyBorder="1" applyAlignment="1">
      <alignment horizontal="center" vertical="center" wrapText="1"/>
    </xf>
    <xf numFmtId="0" fontId="1" fillId="5" borderId="1" xfId="0" applyFont="1" applyFill="1" applyBorder="1" applyAlignment="1">
      <alignment horizontal="right"/>
    </xf>
    <xf numFmtId="0" fontId="5" fillId="5" borderId="6" xfId="0" applyFont="1" applyFill="1" applyBorder="1" applyAlignment="1">
      <alignment horizontal="center" vertical="center" wrapText="1"/>
    </xf>
    <xf numFmtId="0" fontId="5" fillId="5" borderId="6" xfId="0" applyFont="1" applyFill="1" applyBorder="1" applyAlignment="1">
      <alignment horizontal="center" vertical="center"/>
    </xf>
    <xf numFmtId="0" fontId="2" fillId="5" borderId="6" xfId="0" applyFont="1" applyFill="1" applyBorder="1" applyAlignment="1">
      <alignment horizontal="right" vertical="center"/>
    </xf>
    <xf numFmtId="0" fontId="1" fillId="6" borderId="1" xfId="0" applyFont="1" applyFill="1" applyBorder="1" applyAlignment="1">
      <alignment horizontal="center"/>
    </xf>
    <xf numFmtId="0" fontId="1" fillId="6" borderId="5" xfId="0" applyFont="1" applyFill="1" applyBorder="1" applyAlignment="1">
      <alignment horizontal="left"/>
    </xf>
    <xf numFmtId="0" fontId="1" fillId="6" borderId="6" xfId="0" applyFont="1" applyFill="1" applyBorder="1" applyAlignment="1">
      <alignment horizontal="right" vertical="center" wrapText="1"/>
    </xf>
    <xf numFmtId="0" fontId="1" fillId="6" borderId="6" xfId="0" applyFont="1" applyFill="1" applyBorder="1" applyAlignment="1">
      <alignment horizontal="right" vertical="center"/>
    </xf>
    <xf numFmtId="10" fontId="1" fillId="6" borderId="6" xfId="0" applyNumberFormat="1" applyFont="1" applyFill="1" applyBorder="1" applyAlignment="1">
      <alignment horizontal="right"/>
    </xf>
    <xf numFmtId="0" fontId="1" fillId="6" borderId="6" xfId="0" applyFont="1" applyFill="1" applyBorder="1" applyAlignment="1">
      <alignment horizontal="right"/>
    </xf>
    <xf numFmtId="1" fontId="1" fillId="6" borderId="6" xfId="0" applyNumberFormat="1" applyFont="1" applyFill="1" applyBorder="1" applyAlignment="1">
      <alignment horizontal="right" vertical="center"/>
    </xf>
    <xf numFmtId="0" fontId="1" fillId="6" borderId="1" xfId="0" applyFont="1" applyFill="1" applyBorder="1" applyAlignment="1">
      <alignment horizontal="right"/>
    </xf>
    <xf numFmtId="1" fontId="6" fillId="7" borderId="6" xfId="0" applyNumberFormat="1" applyFont="1" applyFill="1" applyBorder="1" applyAlignment="1">
      <alignment horizontal="right"/>
    </xf>
    <xf numFmtId="1" fontId="6" fillId="6" borderId="6" xfId="0" applyNumberFormat="1" applyFont="1" applyFill="1" applyBorder="1" applyAlignment="1">
      <alignment horizontal="right"/>
    </xf>
    <xf numFmtId="1" fontId="1" fillId="6" borderId="6" xfId="0" applyNumberFormat="1" applyFont="1" applyFill="1" applyBorder="1" applyAlignment="1">
      <alignment horizontal="right"/>
    </xf>
    <xf numFmtId="10" fontId="6" fillId="6" borderId="6" xfId="0" applyNumberFormat="1" applyFont="1" applyFill="1" applyBorder="1" applyAlignment="1">
      <alignment horizontal="right" vertical="center"/>
    </xf>
    <xf numFmtId="0" fontId="6" fillId="6" borderId="6" xfId="0" applyFont="1" applyFill="1" applyBorder="1" applyAlignment="1">
      <alignment horizontal="right" vertical="center"/>
    </xf>
    <xf numFmtId="165" fontId="1" fillId="6" borderId="6" xfId="0" applyNumberFormat="1" applyFont="1" applyFill="1" applyBorder="1" applyAlignment="1">
      <alignment horizontal="right" vertical="center"/>
    </xf>
    <xf numFmtId="165" fontId="1" fillId="6" borderId="6" xfId="0" applyNumberFormat="1" applyFont="1" applyFill="1" applyBorder="1" applyAlignment="1">
      <alignment horizontal="right"/>
    </xf>
    <xf numFmtId="164" fontId="1" fillId="6" borderId="6" xfId="0" applyNumberFormat="1" applyFont="1" applyFill="1" applyBorder="1" applyAlignment="1">
      <alignment horizontal="right"/>
    </xf>
    <xf numFmtId="1" fontId="1" fillId="6" borderId="1" xfId="0" applyNumberFormat="1" applyFont="1" applyFill="1" applyBorder="1" applyAlignment="1">
      <alignment horizontal="right"/>
    </xf>
    <xf numFmtId="0" fontId="6" fillId="6" borderId="6" xfId="0" applyFont="1" applyFill="1" applyBorder="1" applyAlignment="1">
      <alignment horizontal="right" vertical="center" wrapText="1"/>
    </xf>
    <xf numFmtId="10" fontId="6" fillId="6" borderId="6" xfId="0" applyNumberFormat="1" applyFont="1" applyFill="1" applyBorder="1" applyAlignment="1">
      <alignment horizontal="right" vertical="top"/>
    </xf>
    <xf numFmtId="165" fontId="6" fillId="0" borderId="6" xfId="0" applyNumberFormat="1" applyFont="1" applyBorder="1" applyAlignment="1">
      <alignment horizontal="right"/>
    </xf>
    <xf numFmtId="1" fontId="1" fillId="7" borderId="6" xfId="0" applyNumberFormat="1" applyFont="1" applyFill="1" applyBorder="1" applyAlignment="1">
      <alignment horizontal="right"/>
    </xf>
    <xf numFmtId="10" fontId="6" fillId="6" borderId="6" xfId="0" applyNumberFormat="1" applyFont="1" applyFill="1" applyBorder="1" applyAlignment="1">
      <alignment horizontal="right"/>
    </xf>
    <xf numFmtId="165" fontId="1" fillId="0" borderId="6" xfId="0" applyNumberFormat="1" applyFont="1" applyBorder="1" applyAlignment="1">
      <alignment horizontal="right" vertical="top"/>
    </xf>
    <xf numFmtId="10" fontId="1" fillId="3" borderId="6" xfId="0" applyNumberFormat="1" applyFont="1" applyFill="1" applyBorder="1" applyAlignment="1">
      <alignment horizontal="right"/>
    </xf>
    <xf numFmtId="10" fontId="1" fillId="2" borderId="6" xfId="0" applyNumberFormat="1" applyFont="1" applyFill="1" applyBorder="1" applyAlignment="1">
      <alignment horizontal="right"/>
    </xf>
    <xf numFmtId="10" fontId="1" fillId="0" borderId="6" xfId="0" applyNumberFormat="1" applyFont="1" applyBorder="1" applyAlignment="1">
      <alignment horizontal="right"/>
    </xf>
    <xf numFmtId="0" fontId="6" fillId="6" borderId="6" xfId="0" applyFont="1" applyFill="1" applyBorder="1" applyAlignment="1">
      <alignment horizontal="right"/>
    </xf>
    <xf numFmtId="165" fontId="6" fillId="6" borderId="6" xfId="0" applyNumberFormat="1" applyFont="1" applyFill="1" applyBorder="1" applyAlignment="1">
      <alignment horizontal="right"/>
    </xf>
    <xf numFmtId="166" fontId="1" fillId="6" borderId="6" xfId="0" applyNumberFormat="1" applyFont="1" applyFill="1" applyBorder="1" applyAlignment="1">
      <alignment horizontal="right"/>
    </xf>
    <xf numFmtId="164" fontId="1" fillId="0" borderId="6" xfId="0" applyNumberFormat="1" applyFont="1" applyBorder="1" applyAlignment="1">
      <alignment horizontal="right" vertical="top"/>
    </xf>
    <xf numFmtId="1" fontId="6" fillId="0" borderId="6" xfId="0" applyNumberFormat="1" applyFont="1" applyBorder="1"/>
    <xf numFmtId="1" fontId="1" fillId="0" borderId="6" xfId="0" applyNumberFormat="1" applyFont="1" applyBorder="1" applyAlignment="1">
      <alignment horizontal="right"/>
    </xf>
    <xf numFmtId="0" fontId="6" fillId="6" borderId="5" xfId="0" applyFont="1" applyFill="1" applyBorder="1" applyAlignment="1">
      <alignment horizontal="left"/>
    </xf>
    <xf numFmtId="0" fontId="1" fillId="6" borderId="1" xfId="0" applyFont="1" applyFill="1" applyBorder="1" applyAlignment="1">
      <alignment horizontal="left"/>
    </xf>
    <xf numFmtId="165" fontId="1" fillId="6" borderId="1" xfId="0" applyNumberFormat="1" applyFont="1" applyFill="1" applyBorder="1" applyAlignment="1">
      <alignment horizontal="right"/>
    </xf>
    <xf numFmtId="2" fontId="1" fillId="6" borderId="1" xfId="0" applyNumberFormat="1" applyFont="1" applyFill="1" applyBorder="1" applyAlignment="1">
      <alignment horizontal="right"/>
    </xf>
    <xf numFmtId="0" fontId="2" fillId="6" borderId="1" xfId="0" applyFont="1" applyFill="1" applyBorder="1" applyAlignment="1">
      <alignment horizontal="right"/>
    </xf>
    <xf numFmtId="0" fontId="1" fillId="6" borderId="1" xfId="0" applyFont="1" applyFill="1" applyBorder="1" applyAlignment="1">
      <alignment horizontal="right" vertical="center" wrapText="1"/>
    </xf>
    <xf numFmtId="0" fontId="1" fillId="0" borderId="0" xfId="0" applyFont="1" applyAlignment="1">
      <alignment horizontal="center"/>
    </xf>
    <xf numFmtId="0" fontId="1" fillId="0" borderId="0" xfId="0" applyFont="1" applyAlignment="1">
      <alignment horizontal="left"/>
    </xf>
    <xf numFmtId="0" fontId="8" fillId="0" borderId="0" xfId="0" applyFont="1"/>
    <xf numFmtId="168" fontId="1" fillId="0" borderId="6" xfId="0" applyNumberFormat="1" applyFont="1" applyBorder="1" applyAlignment="1">
      <alignment horizontal="right"/>
    </xf>
    <xf numFmtId="168" fontId="1" fillId="3" borderId="6" xfId="0" applyNumberFormat="1" applyFont="1" applyFill="1" applyBorder="1" applyAlignment="1">
      <alignment horizontal="right"/>
    </xf>
    <xf numFmtId="168" fontId="6" fillId="0" borderId="6" xfId="0" applyNumberFormat="1" applyFont="1" applyBorder="1" applyAlignment="1">
      <alignment horizontal="right"/>
    </xf>
    <xf numFmtId="168" fontId="1" fillId="2" borderId="6" xfId="0" applyNumberFormat="1" applyFont="1" applyFill="1" applyBorder="1" applyAlignment="1">
      <alignment horizontal="right"/>
    </xf>
    <xf numFmtId="168" fontId="1" fillId="6" borderId="6" xfId="0" applyNumberFormat="1" applyFont="1" applyFill="1" applyBorder="1" applyAlignment="1">
      <alignment horizontal="right"/>
    </xf>
    <xf numFmtId="167" fontId="9" fillId="0" borderId="6" xfId="0" applyNumberFormat="1" applyFont="1" applyBorder="1"/>
    <xf numFmtId="168" fontId="6" fillId="2" borderId="6" xfId="0" applyNumberFormat="1" applyFont="1" applyFill="1" applyBorder="1" applyAlignment="1">
      <alignment horizontal="right"/>
    </xf>
    <xf numFmtId="168" fontId="7" fillId="6" borderId="0" xfId="0" applyNumberFormat="1" applyFont="1" applyFill="1"/>
    <xf numFmtId="168" fontId="1" fillId="0" borderId="0" xfId="0" applyNumberFormat="1" applyFont="1"/>
    <xf numFmtId="168" fontId="7" fillId="6" borderId="6" xfId="0" applyNumberFormat="1" applyFont="1" applyFill="1" applyBorder="1" applyAlignment="1">
      <alignment horizontal="right"/>
    </xf>
    <xf numFmtId="164" fontId="1" fillId="6" borderId="6" xfId="0" applyNumberFormat="1" applyFont="1" applyFill="1" applyBorder="1" applyAlignment="1">
      <alignment horizontal="right" vertical="top"/>
    </xf>
    <xf numFmtId="164" fontId="6" fillId="8" borderId="0" xfId="0" applyNumberFormat="1" applyFont="1" applyFill="1" applyAlignment="1">
      <alignment horizontal="right"/>
    </xf>
    <xf numFmtId="164" fontId="1" fillId="2" borderId="6" xfId="0" applyNumberFormat="1" applyFont="1" applyFill="1" applyBorder="1" applyAlignment="1">
      <alignment horizontal="right"/>
    </xf>
    <xf numFmtId="165" fontId="1" fillId="3" borderId="6" xfId="0" applyNumberFormat="1" applyFont="1" applyFill="1" applyBorder="1" applyAlignment="1">
      <alignment horizontal="right" vertical="top"/>
    </xf>
    <xf numFmtId="165" fontId="1" fillId="3" borderId="6" xfId="0" applyNumberFormat="1" applyFont="1" applyFill="1" applyBorder="1" applyAlignment="1">
      <alignment horizontal="right" vertical="center"/>
    </xf>
    <xf numFmtId="165" fontId="1" fillId="0" borderId="6" xfId="0" applyNumberFormat="1" applyFont="1" applyBorder="1" applyAlignment="1">
      <alignment horizontal="right" vertical="center"/>
    </xf>
    <xf numFmtId="165" fontId="1" fillId="0" borderId="6" xfId="0" applyNumberFormat="1" applyFont="1" applyBorder="1" applyAlignment="1">
      <alignment horizontal="right"/>
    </xf>
    <xf numFmtId="0" fontId="6" fillId="5" borderId="1" xfId="0" applyFont="1" applyFill="1" applyBorder="1" applyAlignment="1">
      <alignment horizontal="center"/>
    </xf>
    <xf numFmtId="0" fontId="6" fillId="5" borderId="5" xfId="0" applyFont="1" applyFill="1" applyBorder="1" applyAlignment="1">
      <alignment horizontal="left"/>
    </xf>
    <xf numFmtId="0" fontId="6" fillId="5" borderId="1" xfId="0" applyFont="1" applyFill="1" applyBorder="1" applyAlignment="1">
      <alignment horizontal="right"/>
    </xf>
    <xf numFmtId="169" fontId="6" fillId="6" borderId="6" xfId="0" applyNumberFormat="1" applyFont="1" applyFill="1" applyBorder="1" applyAlignment="1">
      <alignment horizontal="right" vertical="center"/>
    </xf>
    <xf numFmtId="1" fontId="1" fillId="3" borderId="6" xfId="0" applyNumberFormat="1" applyFont="1" applyFill="1" applyBorder="1" applyAlignment="1">
      <alignment horizontal="right"/>
    </xf>
    <xf numFmtId="1" fontId="1" fillId="9" borderId="6" xfId="0" applyNumberFormat="1" applyFont="1" applyFill="1" applyBorder="1" applyAlignment="1">
      <alignment horizontal="right"/>
    </xf>
    <xf numFmtId="169" fontId="1" fillId="6" borderId="6" xfId="0" applyNumberFormat="1" applyFont="1" applyFill="1" applyBorder="1" applyAlignment="1">
      <alignment horizontal="right" vertical="center"/>
    </xf>
    <xf numFmtId="1" fontId="6" fillId="0" borderId="6" xfId="0" applyNumberFormat="1" applyFont="1" applyBorder="1" applyAlignment="1">
      <alignment horizontal="right"/>
    </xf>
    <xf numFmtId="1" fontId="6" fillId="3" borderId="6" xfId="0" applyNumberFormat="1" applyFont="1" applyFill="1" applyBorder="1" applyAlignment="1">
      <alignment horizontal="right"/>
    </xf>
    <xf numFmtId="1" fontId="6" fillId="9" borderId="6" xfId="0" applyNumberFormat="1" applyFont="1" applyFill="1" applyBorder="1" applyAlignment="1">
      <alignment horizontal="right"/>
    </xf>
    <xf numFmtId="1" fontId="1" fillId="9" borderId="9" xfId="0" applyNumberFormat="1" applyFont="1" applyFill="1" applyBorder="1" applyAlignment="1">
      <alignment horizontal="right"/>
    </xf>
    <xf numFmtId="169" fontId="1" fillId="6" borderId="6" xfId="0" applyNumberFormat="1" applyFont="1" applyFill="1" applyBorder="1" applyAlignment="1">
      <alignment horizontal="right"/>
    </xf>
    <xf numFmtId="0" fontId="8" fillId="7" borderId="6" xfId="0" applyFont="1" applyFill="1" applyBorder="1"/>
    <xf numFmtId="0" fontId="1" fillId="6" borderId="18" xfId="0" applyFont="1" applyFill="1" applyBorder="1" applyAlignment="1">
      <alignment horizontal="right"/>
    </xf>
    <xf numFmtId="164" fontId="1" fillId="3" borderId="6" xfId="0" applyNumberFormat="1" applyFont="1" applyFill="1" applyBorder="1" applyAlignment="1">
      <alignment horizontal="right"/>
    </xf>
    <xf numFmtId="1" fontId="1" fillId="3" borderId="6" xfId="0" applyNumberFormat="1" applyFont="1" applyFill="1" applyBorder="1" applyAlignment="1">
      <alignment horizontal="right" vertical="center"/>
    </xf>
    <xf numFmtId="165" fontId="1" fillId="3" borderId="6" xfId="0" applyNumberFormat="1" applyFont="1" applyFill="1" applyBorder="1" applyAlignment="1">
      <alignment horizontal="right"/>
    </xf>
    <xf numFmtId="10" fontId="6" fillId="2" borderId="6" xfId="0" applyNumberFormat="1" applyFont="1" applyFill="1" applyBorder="1" applyAlignment="1">
      <alignment horizontal="right" vertical="center"/>
    </xf>
    <xf numFmtId="1" fontId="1" fillId="2" borderId="6" xfId="0" applyNumberFormat="1" applyFont="1" applyFill="1" applyBorder="1" applyAlignment="1">
      <alignment horizontal="right"/>
    </xf>
    <xf numFmtId="1" fontId="1" fillId="2" borderId="6" xfId="0" applyNumberFormat="1" applyFont="1" applyFill="1" applyBorder="1" applyAlignment="1">
      <alignment horizontal="right" vertical="center"/>
    </xf>
    <xf numFmtId="0" fontId="6" fillId="3" borderId="1" xfId="0" applyFont="1" applyFill="1" applyBorder="1" applyAlignment="1">
      <alignment horizontal="right"/>
    </xf>
    <xf numFmtId="0" fontId="6" fillId="4" borderId="1" xfId="0" applyFont="1" applyFill="1" applyBorder="1" applyAlignment="1">
      <alignment horizontal="right"/>
    </xf>
    <xf numFmtId="168" fontId="4" fillId="5" borderId="6" xfId="0" applyNumberFormat="1" applyFont="1" applyFill="1" applyBorder="1" applyAlignment="1">
      <alignment horizontal="center" vertical="center" wrapText="1"/>
    </xf>
    <xf numFmtId="168" fontId="2" fillId="5" borderId="6" xfId="0" applyNumberFormat="1" applyFont="1" applyFill="1" applyBorder="1" applyAlignment="1">
      <alignment horizontal="center" vertical="center" wrapText="1"/>
    </xf>
    <xf numFmtId="1" fontId="1" fillId="6" borderId="4" xfId="0" applyNumberFormat="1" applyFont="1" applyFill="1" applyBorder="1" applyAlignment="1">
      <alignment horizontal="right"/>
    </xf>
    <xf numFmtId="10" fontId="6" fillId="3" borderId="6" xfId="0" applyNumberFormat="1" applyFont="1" applyFill="1" applyBorder="1" applyAlignment="1">
      <alignment horizontal="right" vertical="center"/>
    </xf>
    <xf numFmtId="164" fontId="1" fillId="3" borderId="6" xfId="0" applyNumberFormat="1" applyFont="1" applyFill="1" applyBorder="1" applyAlignment="1">
      <alignment horizontal="right" vertical="top"/>
    </xf>
    <xf numFmtId="10" fontId="6" fillId="2" borderId="6" xfId="0" applyNumberFormat="1" applyFont="1" applyFill="1" applyBorder="1" applyAlignment="1">
      <alignment horizontal="right"/>
    </xf>
    <xf numFmtId="168" fontId="1" fillId="6" borderId="1" xfId="0" applyNumberFormat="1" applyFont="1" applyFill="1" applyBorder="1" applyAlignment="1">
      <alignment horizontal="right"/>
    </xf>
    <xf numFmtId="168" fontId="1" fillId="0" borderId="0" xfId="0" applyNumberFormat="1" applyFont="1" applyAlignment="1">
      <alignment horizontal="right"/>
    </xf>
    <xf numFmtId="168" fontId="10" fillId="5" borderId="6" xfId="0" applyNumberFormat="1" applyFont="1" applyFill="1" applyBorder="1" applyAlignment="1">
      <alignment horizontal="center" vertical="center" wrapText="1"/>
    </xf>
    <xf numFmtId="168" fontId="11" fillId="5" borderId="6" xfId="0" applyNumberFormat="1" applyFont="1" applyFill="1" applyBorder="1" applyAlignment="1">
      <alignment horizontal="center" vertical="center" wrapText="1"/>
    </xf>
    <xf numFmtId="168" fontId="12" fillId="0" borderId="6" xfId="0" applyNumberFormat="1" applyFont="1" applyBorder="1" applyAlignment="1">
      <alignment horizontal="right"/>
    </xf>
    <xf numFmtId="168" fontId="12" fillId="3" borderId="6" xfId="0" applyNumberFormat="1" applyFont="1" applyFill="1" applyBorder="1" applyAlignment="1">
      <alignment horizontal="right"/>
    </xf>
    <xf numFmtId="168" fontId="12" fillId="6" borderId="6" xfId="0" applyNumberFormat="1" applyFont="1" applyFill="1" applyBorder="1" applyAlignment="1">
      <alignment horizontal="right"/>
    </xf>
    <xf numFmtId="168" fontId="13" fillId="0" borderId="6" xfId="0" applyNumberFormat="1" applyFont="1" applyBorder="1"/>
    <xf numFmtId="168" fontId="13" fillId="6" borderId="6" xfId="0" applyNumberFormat="1" applyFont="1" applyFill="1" applyBorder="1" applyAlignment="1">
      <alignment horizontal="right"/>
    </xf>
    <xf numFmtId="168" fontId="13" fillId="3" borderId="6" xfId="0" applyNumberFormat="1" applyFont="1" applyFill="1" applyBorder="1" applyAlignment="1">
      <alignment horizontal="right"/>
    </xf>
    <xf numFmtId="168" fontId="13" fillId="0" borderId="6" xfId="0" applyNumberFormat="1" applyFont="1" applyBorder="1" applyAlignment="1">
      <alignment horizontal="right"/>
    </xf>
    <xf numFmtId="168" fontId="13" fillId="6" borderId="1" xfId="0" applyNumberFormat="1" applyFont="1" applyFill="1" applyBorder="1" applyAlignment="1">
      <alignment horizontal="right"/>
    </xf>
    <xf numFmtId="168" fontId="13" fillId="0" borderId="0" xfId="0" applyNumberFormat="1" applyFont="1" applyAlignment="1">
      <alignment horizontal="right"/>
    </xf>
    <xf numFmtId="168" fontId="13" fillId="0" borderId="0" xfId="0" applyNumberFormat="1" applyFont="1"/>
    <xf numFmtId="168" fontId="13" fillId="10" borderId="6" xfId="0" applyNumberFormat="1" applyFont="1" applyFill="1" applyBorder="1" applyAlignment="1">
      <alignment horizontal="right"/>
    </xf>
    <xf numFmtId="165" fontId="13" fillId="0" borderId="6" xfId="0" applyNumberFormat="1" applyFont="1" applyBorder="1" applyAlignment="1">
      <alignment horizontal="right"/>
    </xf>
    <xf numFmtId="165" fontId="13" fillId="0" borderId="6" xfId="0" applyNumberFormat="1" applyFont="1" applyBorder="1" applyAlignment="1">
      <alignment horizontal="right" vertical="top"/>
    </xf>
    <xf numFmtId="165" fontId="13" fillId="6" borderId="6" xfId="0" applyNumberFormat="1" applyFont="1" applyFill="1" applyBorder="1" applyAlignment="1">
      <alignment horizontal="right" vertical="center"/>
    </xf>
    <xf numFmtId="165" fontId="12" fillId="0" borderId="6" xfId="0" applyNumberFormat="1" applyFont="1" applyBorder="1" applyAlignment="1">
      <alignment horizontal="right"/>
    </xf>
    <xf numFmtId="0" fontId="13" fillId="3" borderId="6" xfId="0" applyFont="1" applyFill="1" applyBorder="1" applyAlignment="1">
      <alignment horizontal="right"/>
    </xf>
    <xf numFmtId="0" fontId="1" fillId="3" borderId="2" xfId="0" applyFont="1" applyFill="1" applyBorder="1" applyAlignment="1">
      <alignment horizontal="right"/>
    </xf>
    <xf numFmtId="0" fontId="3" fillId="0" borderId="4" xfId="0" applyFont="1" applyBorder="1"/>
    <xf numFmtId="0" fontId="1" fillId="6" borderId="2" xfId="0" applyFont="1" applyFill="1" applyBorder="1" applyAlignment="1">
      <alignment horizontal="right"/>
    </xf>
    <xf numFmtId="0" fontId="3" fillId="0" borderId="3" xfId="0" applyFont="1" applyBorder="1"/>
    <xf numFmtId="0" fontId="4" fillId="5" borderId="7" xfId="0" applyFont="1" applyFill="1" applyBorder="1" applyAlignment="1">
      <alignment horizontal="center" vertical="center"/>
    </xf>
    <xf numFmtId="0" fontId="3" fillId="0" borderId="8" xfId="0" applyFont="1" applyBorder="1"/>
    <xf numFmtId="0" fontId="3" fillId="0" borderId="9" xfId="0" applyFont="1" applyBorder="1"/>
    <xf numFmtId="168" fontId="4" fillId="5" borderId="7" xfId="0" applyNumberFormat="1" applyFont="1" applyFill="1" applyBorder="1" applyAlignment="1">
      <alignment horizontal="center" vertical="center" wrapText="1"/>
    </xf>
    <xf numFmtId="1" fontId="1" fillId="0" borderId="10" xfId="0" applyNumberFormat="1" applyFont="1" applyBorder="1" applyAlignment="1">
      <alignment horizontal="center" vertical="center"/>
    </xf>
    <xf numFmtId="0" fontId="3" fillId="0" borderId="11" xfId="0" applyFont="1" applyBorder="1"/>
    <xf numFmtId="0" fontId="3" fillId="0" borderId="12" xfId="0" applyFont="1" applyBorder="1"/>
    <xf numFmtId="0" fontId="3" fillId="0" borderId="15" xfId="0" applyFont="1" applyBorder="1"/>
    <xf numFmtId="0" fontId="3" fillId="0" borderId="16" xfId="0" applyFont="1" applyBorder="1"/>
    <xf numFmtId="0" fontId="3" fillId="0" borderId="17" xfId="0" applyFont="1" applyBorder="1"/>
    <xf numFmtId="1" fontId="1" fillId="2" borderId="10" xfId="0" applyNumberFormat="1" applyFont="1" applyFill="1" applyBorder="1" applyAlignment="1">
      <alignment horizontal="center" vertical="center"/>
    </xf>
    <xf numFmtId="0" fontId="3" fillId="0" borderId="13" xfId="0" applyFont="1" applyBorder="1"/>
    <xf numFmtId="0" fontId="0" fillId="0" borderId="0" xfId="0"/>
    <xf numFmtId="0" fontId="3" fillId="0" borderId="14" xfId="0" applyFont="1" applyBorder="1"/>
    <xf numFmtId="0" fontId="1" fillId="6" borderId="2"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17" Type="http://schemas.openxmlformats.org/officeDocument/2006/relationships/theme" Target="theme/theme1.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1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81"/>
  <sheetViews>
    <sheetView tabSelected="1" zoomScale="60" zoomScaleNormal="60" workbookViewId="0">
      <pane xSplit="4" ySplit="1" topLeftCell="E2" activePane="bottomRight" state="frozen"/>
      <selection pane="topRight" activeCell="E1" sqref="E1"/>
      <selection pane="bottomLeft" activeCell="A2" sqref="A2"/>
      <selection pane="bottomRight" activeCell="B149" sqref="B149"/>
    </sheetView>
  </sheetViews>
  <sheetFormatPr defaultColWidth="14.453125" defaultRowHeight="15" customHeight="1"/>
  <cols>
    <col min="1" max="1" width="7.54296875" customWidth="1"/>
    <col min="2" max="2" width="40.54296875" customWidth="1"/>
    <col min="3" max="3" width="7.81640625" customWidth="1"/>
    <col min="4" max="4" width="9.1796875" customWidth="1"/>
    <col min="5" max="5" width="10.7265625" customWidth="1"/>
    <col min="6" max="6" width="13.1796875" customWidth="1"/>
    <col min="7" max="7" width="10.26953125" customWidth="1"/>
    <col min="8" max="8" width="15" customWidth="1"/>
    <col min="9" max="9" width="14.54296875" customWidth="1"/>
    <col min="10" max="10" width="9.453125" customWidth="1"/>
    <col min="11" max="11" width="13.81640625" customWidth="1"/>
    <col min="12" max="23" width="8.7265625" customWidth="1"/>
    <col min="24" max="24" width="16.1796875" customWidth="1"/>
    <col min="25" max="25" width="16.26953125" hidden="1" customWidth="1"/>
    <col min="26" max="26" width="25.7265625" customWidth="1"/>
    <col min="27" max="28" width="13.81640625" customWidth="1"/>
    <col min="29" max="31" width="8.7265625" customWidth="1"/>
    <col min="32" max="32" width="10.453125" customWidth="1"/>
    <col min="33" max="33" width="13.81640625" customWidth="1"/>
    <col min="34" max="34" width="15" customWidth="1"/>
    <col min="35" max="35" width="17.26953125" customWidth="1"/>
    <col min="36" max="36" width="17.54296875" style="113" customWidth="1"/>
    <col min="37" max="43" width="8.7265625" customWidth="1"/>
  </cols>
  <sheetData>
    <row r="1" spans="1:43" ht="90" customHeight="1">
      <c r="A1" s="72"/>
      <c r="B1" s="73"/>
      <c r="C1" s="6" t="s">
        <v>0</v>
      </c>
      <c r="D1" s="7" t="s">
        <v>1</v>
      </c>
      <c r="E1" s="6" t="s">
        <v>111</v>
      </c>
      <c r="F1" s="7" t="s">
        <v>2</v>
      </c>
      <c r="G1" s="7" t="s">
        <v>3</v>
      </c>
      <c r="H1" s="7" t="s">
        <v>4</v>
      </c>
      <c r="I1" s="7" t="s">
        <v>5</v>
      </c>
      <c r="J1" s="7" t="s">
        <v>6</v>
      </c>
      <c r="K1" s="7" t="s">
        <v>7</v>
      </c>
      <c r="L1" s="7" t="s">
        <v>8</v>
      </c>
      <c r="M1" s="124" t="s">
        <v>9</v>
      </c>
      <c r="N1" s="125"/>
      <c r="O1" s="125"/>
      <c r="P1" s="125"/>
      <c r="Q1" s="125"/>
      <c r="R1" s="125"/>
      <c r="S1" s="125"/>
      <c r="T1" s="125"/>
      <c r="U1" s="125"/>
      <c r="V1" s="125"/>
      <c r="W1" s="126"/>
      <c r="X1" s="7" t="s">
        <v>10</v>
      </c>
      <c r="Y1" s="6" t="s">
        <v>11</v>
      </c>
      <c r="Z1" s="6" t="s">
        <v>12</v>
      </c>
      <c r="AA1" s="124" t="s">
        <v>13</v>
      </c>
      <c r="AB1" s="125"/>
      <c r="AC1" s="125"/>
      <c r="AD1" s="125"/>
      <c r="AE1" s="125"/>
      <c r="AF1" s="125"/>
      <c r="AG1" s="126"/>
      <c r="AH1" s="127" t="s">
        <v>14</v>
      </c>
      <c r="AI1" s="125"/>
      <c r="AJ1" s="126"/>
      <c r="AK1" s="74"/>
      <c r="AL1" s="92"/>
      <c r="AM1" s="93"/>
      <c r="AN1" s="74"/>
      <c r="AO1" s="74"/>
      <c r="AP1" s="74"/>
      <c r="AQ1" s="74"/>
    </row>
    <row r="2" spans="1:43" ht="45">
      <c r="A2" s="72"/>
      <c r="B2" s="73"/>
      <c r="C2" s="6"/>
      <c r="D2" s="7"/>
      <c r="E2" s="7"/>
      <c r="F2" s="7"/>
      <c r="G2" s="7"/>
      <c r="H2" s="7"/>
      <c r="I2" s="7"/>
      <c r="J2" s="7"/>
      <c r="K2" s="7"/>
      <c r="L2" s="7"/>
      <c r="M2" s="7">
        <v>1</v>
      </c>
      <c r="N2" s="7">
        <v>2</v>
      </c>
      <c r="O2" s="7">
        <v>3</v>
      </c>
      <c r="P2" s="7">
        <v>4</v>
      </c>
      <c r="Q2" s="7">
        <v>5</v>
      </c>
      <c r="R2" s="7">
        <v>6</v>
      </c>
      <c r="S2" s="7">
        <v>7</v>
      </c>
      <c r="T2" s="7">
        <v>8</v>
      </c>
      <c r="U2" s="7">
        <v>9</v>
      </c>
      <c r="V2" s="7">
        <v>10</v>
      </c>
      <c r="W2" s="7">
        <v>11</v>
      </c>
      <c r="X2" s="7"/>
      <c r="Y2" s="7"/>
      <c r="Z2" s="7"/>
      <c r="AA2" s="6" t="s">
        <v>15</v>
      </c>
      <c r="AB2" s="6" t="s">
        <v>16</v>
      </c>
      <c r="AC2" s="124" t="s">
        <v>17</v>
      </c>
      <c r="AD2" s="125"/>
      <c r="AE2" s="125"/>
      <c r="AF2" s="126"/>
      <c r="AG2" s="7" t="s">
        <v>120</v>
      </c>
      <c r="AH2" s="94"/>
      <c r="AI2" s="94"/>
      <c r="AJ2" s="102"/>
      <c r="AK2" s="74"/>
      <c r="AL2" s="92"/>
      <c r="AM2" s="93"/>
      <c r="AN2" s="74"/>
      <c r="AO2" s="74"/>
      <c r="AP2" s="74"/>
      <c r="AQ2" s="74"/>
    </row>
    <row r="3" spans="1:43" ht="15.5">
      <c r="A3" s="4"/>
      <c r="B3" s="5"/>
      <c r="C3" s="11"/>
      <c r="D3" s="12"/>
      <c r="E3" s="12"/>
      <c r="F3" s="8"/>
      <c r="G3" s="8"/>
      <c r="H3" s="8"/>
      <c r="I3" s="8"/>
      <c r="J3" s="8"/>
      <c r="K3" s="8"/>
      <c r="L3" s="8"/>
      <c r="M3" s="8"/>
      <c r="N3" s="8"/>
      <c r="O3" s="8"/>
      <c r="P3" s="8"/>
      <c r="Q3" s="8"/>
      <c r="R3" s="8"/>
      <c r="S3" s="8"/>
      <c r="T3" s="8"/>
      <c r="U3" s="8"/>
      <c r="V3" s="8"/>
      <c r="W3" s="8"/>
      <c r="X3" s="13"/>
      <c r="Y3" s="13"/>
      <c r="Z3" s="13"/>
      <c r="AA3" s="8"/>
      <c r="AB3" s="8"/>
      <c r="AC3" s="8">
        <v>1</v>
      </c>
      <c r="AD3" s="8">
        <v>2</v>
      </c>
      <c r="AE3" s="8">
        <v>3</v>
      </c>
      <c r="AF3" s="9">
        <v>4</v>
      </c>
      <c r="AG3" s="9"/>
      <c r="AH3" s="95" t="s">
        <v>18</v>
      </c>
      <c r="AI3" s="95" t="s">
        <v>19</v>
      </c>
      <c r="AJ3" s="103" t="s">
        <v>121</v>
      </c>
      <c r="AK3" s="10"/>
      <c r="AL3" s="120" t="s">
        <v>20</v>
      </c>
      <c r="AM3" s="121"/>
      <c r="AN3" s="10"/>
      <c r="AO3" s="10"/>
      <c r="AP3" s="10"/>
      <c r="AQ3" s="10"/>
    </row>
    <row r="4" spans="1:43" ht="15.75" customHeight="1">
      <c r="A4" s="14">
        <v>1</v>
      </c>
      <c r="B4" s="15" t="s">
        <v>21</v>
      </c>
      <c r="C4" s="31">
        <v>1</v>
      </c>
      <c r="D4" s="26">
        <v>2016</v>
      </c>
      <c r="E4" s="26" t="s">
        <v>112</v>
      </c>
      <c r="F4" s="25">
        <v>2.4799999999999999E-2</v>
      </c>
      <c r="G4" s="32">
        <v>0.1978</v>
      </c>
      <c r="H4" s="25">
        <v>0.84589999999999999</v>
      </c>
      <c r="I4" s="25">
        <v>0.83050000000000002</v>
      </c>
      <c r="J4" s="32">
        <v>7.4700000000000003E-2</v>
      </c>
      <c r="K4" s="25">
        <v>0.2074</v>
      </c>
      <c r="L4" s="25">
        <v>6.9999999999999999E-4</v>
      </c>
      <c r="M4" s="24">
        <v>2</v>
      </c>
      <c r="N4" s="24">
        <v>2</v>
      </c>
      <c r="O4" s="24">
        <v>2</v>
      </c>
      <c r="P4" s="24">
        <v>2</v>
      </c>
      <c r="Q4" s="24">
        <v>2</v>
      </c>
      <c r="R4" s="24">
        <v>2</v>
      </c>
      <c r="S4" s="24">
        <v>2</v>
      </c>
      <c r="T4" s="24">
        <v>2</v>
      </c>
      <c r="U4" s="24">
        <v>2</v>
      </c>
      <c r="V4" s="24">
        <v>2</v>
      </c>
      <c r="W4" s="24">
        <v>2</v>
      </c>
      <c r="X4" s="33">
        <v>0.6</v>
      </c>
      <c r="Y4" s="28">
        <v>0.10729316632044526</v>
      </c>
      <c r="Z4" s="29">
        <v>1415955795</v>
      </c>
      <c r="AA4" s="22">
        <v>0</v>
      </c>
      <c r="AB4" s="22">
        <v>1</v>
      </c>
      <c r="AC4" s="23">
        <v>7</v>
      </c>
      <c r="AD4" s="23">
        <v>7</v>
      </c>
      <c r="AE4" s="24"/>
      <c r="AF4" s="24"/>
      <c r="AG4" s="24">
        <v>1</v>
      </c>
      <c r="AH4" s="55">
        <v>0.95950000000000002</v>
      </c>
      <c r="AI4" s="55">
        <v>0.40839999999999999</v>
      </c>
      <c r="AJ4" s="104" t="s">
        <v>126</v>
      </c>
      <c r="AK4" s="96"/>
      <c r="AL4" s="120" t="s">
        <v>22</v>
      </c>
      <c r="AM4" s="121"/>
      <c r="AN4" s="21"/>
      <c r="AO4" s="21"/>
      <c r="AP4" s="21"/>
      <c r="AQ4" s="21"/>
    </row>
    <row r="5" spans="1:43" ht="15.75" customHeight="1">
      <c r="A5" s="14"/>
      <c r="B5" s="15" t="s">
        <v>21</v>
      </c>
      <c r="C5" s="31">
        <v>1</v>
      </c>
      <c r="D5" s="26">
        <v>2017</v>
      </c>
      <c r="E5" s="26"/>
      <c r="F5" s="25">
        <v>2.5100000000000001E-2</v>
      </c>
      <c r="G5" s="32">
        <v>0.2311</v>
      </c>
      <c r="H5" s="25">
        <v>0.69440000000000002</v>
      </c>
      <c r="I5" s="25">
        <v>0.78</v>
      </c>
      <c r="J5" s="32">
        <v>7.6100000000000001E-2</v>
      </c>
      <c r="K5" s="25">
        <v>0.215</v>
      </c>
      <c r="L5" s="25">
        <v>4.0000000000000002E-4</v>
      </c>
      <c r="M5" s="24">
        <v>2</v>
      </c>
      <c r="N5" s="20">
        <v>3</v>
      </c>
      <c r="O5" s="20">
        <v>2</v>
      </c>
      <c r="P5" s="20">
        <v>3</v>
      </c>
      <c r="Q5" s="20">
        <v>3</v>
      </c>
      <c r="R5" s="20">
        <v>2</v>
      </c>
      <c r="S5" s="20">
        <v>3</v>
      </c>
      <c r="T5" s="20">
        <v>3</v>
      </c>
      <c r="U5" s="20">
        <v>2</v>
      </c>
      <c r="V5" s="20">
        <v>2</v>
      </c>
      <c r="W5" s="20">
        <v>3</v>
      </c>
      <c r="X5" s="33">
        <v>0.71</v>
      </c>
      <c r="Y5" s="28">
        <v>9.0684877759186863E-2</v>
      </c>
      <c r="Z5" s="29">
        <v>12846657000</v>
      </c>
      <c r="AA5" s="22">
        <v>0</v>
      </c>
      <c r="AB5" s="22">
        <v>1</v>
      </c>
      <c r="AC5" s="23">
        <v>36</v>
      </c>
      <c r="AD5" s="23">
        <v>36</v>
      </c>
      <c r="AE5" s="24"/>
      <c r="AF5" s="24"/>
      <c r="AG5" s="24">
        <v>1</v>
      </c>
      <c r="AH5" s="55">
        <v>0.99870836699999999</v>
      </c>
      <c r="AI5" s="55">
        <v>4.9151604000000002E-2</v>
      </c>
      <c r="AJ5" s="104" t="s">
        <v>125</v>
      </c>
      <c r="AK5" s="96"/>
      <c r="AL5" s="1">
        <v>3</v>
      </c>
      <c r="AM5" s="2">
        <v>1</v>
      </c>
      <c r="AN5" s="21"/>
      <c r="AO5" s="21"/>
      <c r="AP5" s="21"/>
      <c r="AQ5" s="21"/>
    </row>
    <row r="6" spans="1:43" ht="15.75" customHeight="1">
      <c r="A6" s="14"/>
      <c r="B6" s="15" t="s">
        <v>21</v>
      </c>
      <c r="C6" s="31">
        <v>1</v>
      </c>
      <c r="D6" s="26">
        <v>2018</v>
      </c>
      <c r="E6" s="26"/>
      <c r="F6" s="25">
        <v>2.3800000000000002E-2</v>
      </c>
      <c r="G6" s="32">
        <v>0.2329</v>
      </c>
      <c r="H6" s="25">
        <v>0.7198</v>
      </c>
      <c r="I6" s="25">
        <v>0.79090000000000005</v>
      </c>
      <c r="J6" s="32">
        <v>7.7200000000000005E-2</v>
      </c>
      <c r="K6" s="25">
        <v>0.19670000000000001</v>
      </c>
      <c r="L6" s="25">
        <v>4.0000000000000002E-4</v>
      </c>
      <c r="M6" s="24">
        <v>3</v>
      </c>
      <c r="N6" s="24">
        <v>3</v>
      </c>
      <c r="O6" s="24">
        <v>3</v>
      </c>
      <c r="P6" s="24">
        <v>3</v>
      </c>
      <c r="Q6" s="24">
        <v>3</v>
      </c>
      <c r="R6" s="20">
        <v>2</v>
      </c>
      <c r="S6" s="20">
        <v>3</v>
      </c>
      <c r="T6" s="20">
        <v>3</v>
      </c>
      <c r="U6" s="20">
        <v>2</v>
      </c>
      <c r="V6" s="20">
        <v>2</v>
      </c>
      <c r="W6" s="20">
        <v>3</v>
      </c>
      <c r="X6" s="33">
        <v>0.75</v>
      </c>
      <c r="Y6" s="28">
        <v>9.4906815753032919E-2</v>
      </c>
      <c r="Z6" s="29">
        <v>9670000000</v>
      </c>
      <c r="AA6" s="22">
        <v>0</v>
      </c>
      <c r="AB6" s="22">
        <v>1</v>
      </c>
      <c r="AC6" s="23">
        <v>6</v>
      </c>
      <c r="AD6" s="23">
        <v>20</v>
      </c>
      <c r="AE6" s="24"/>
      <c r="AF6" s="24"/>
      <c r="AG6" s="24">
        <v>1</v>
      </c>
      <c r="AH6" s="55">
        <v>0.99922501200000002</v>
      </c>
      <c r="AI6" s="55">
        <v>5.4592863999999998E-2</v>
      </c>
      <c r="AJ6" s="104" t="s">
        <v>127</v>
      </c>
      <c r="AK6" s="96"/>
      <c r="AL6" s="1" t="s">
        <v>23</v>
      </c>
      <c r="AM6" s="2">
        <v>0</v>
      </c>
      <c r="AN6" s="21"/>
      <c r="AO6" s="21"/>
      <c r="AP6" s="21"/>
      <c r="AQ6" s="21"/>
    </row>
    <row r="7" spans="1:43" ht="15.75" customHeight="1">
      <c r="A7" s="14"/>
      <c r="B7" s="15" t="s">
        <v>21</v>
      </c>
      <c r="C7" s="31">
        <v>1</v>
      </c>
      <c r="D7" s="26">
        <v>2019</v>
      </c>
      <c r="E7" s="26"/>
      <c r="F7" s="25">
        <v>2.3300000000000001E-2</v>
      </c>
      <c r="G7" s="32">
        <v>0.2344</v>
      </c>
      <c r="H7" s="25">
        <v>0.68640000000000001</v>
      </c>
      <c r="I7" s="25">
        <v>0.76949999999999996</v>
      </c>
      <c r="J7" s="32">
        <v>7.7200000000000005E-2</v>
      </c>
      <c r="K7" s="25">
        <v>0.189</v>
      </c>
      <c r="L7" s="25">
        <v>4.0000000000000002E-4</v>
      </c>
      <c r="M7" s="24">
        <v>2</v>
      </c>
      <c r="N7" s="24">
        <v>2</v>
      </c>
      <c r="O7" s="24">
        <v>2</v>
      </c>
      <c r="P7" s="24">
        <v>2</v>
      </c>
      <c r="Q7" s="24">
        <v>2</v>
      </c>
      <c r="R7" s="24">
        <v>2</v>
      </c>
      <c r="S7" s="24">
        <v>2</v>
      </c>
      <c r="T7" s="24">
        <v>2</v>
      </c>
      <c r="U7" s="24">
        <v>1</v>
      </c>
      <c r="V7" s="24">
        <v>2</v>
      </c>
      <c r="W7" s="24">
        <v>2</v>
      </c>
      <c r="X7" s="33">
        <v>0.81</v>
      </c>
      <c r="Y7" s="28">
        <v>8.8696724338456531E-2</v>
      </c>
      <c r="Z7" s="67">
        <v>768000000</v>
      </c>
      <c r="AA7" s="22">
        <v>0</v>
      </c>
      <c r="AB7" s="22">
        <v>1</v>
      </c>
      <c r="AC7" s="23" t="s">
        <v>24</v>
      </c>
      <c r="AD7" s="23">
        <v>36</v>
      </c>
      <c r="AE7" s="24"/>
      <c r="AF7" s="24"/>
      <c r="AG7" s="24">
        <v>1</v>
      </c>
      <c r="AH7" s="55">
        <v>0.76497584500000004</v>
      </c>
      <c r="AI7" s="63">
        <v>0.118718069</v>
      </c>
      <c r="AJ7" s="104" t="s">
        <v>128</v>
      </c>
      <c r="AK7" s="96"/>
      <c r="AL7" s="1"/>
      <c r="AM7" s="2"/>
      <c r="AN7" s="21"/>
      <c r="AO7" s="21"/>
      <c r="AP7" s="21"/>
      <c r="AQ7" s="21"/>
    </row>
    <row r="8" spans="1:43" ht="15.75" hidden="1" customHeight="1">
      <c r="A8" s="14"/>
      <c r="B8" s="15" t="s">
        <v>21</v>
      </c>
      <c r="C8" s="31">
        <v>1</v>
      </c>
      <c r="D8" s="26">
        <v>2020</v>
      </c>
      <c r="E8" s="26"/>
      <c r="F8" s="25">
        <v>1.7299999999999999E-2</v>
      </c>
      <c r="G8" s="25"/>
      <c r="H8" s="25">
        <v>0.70820000000000005</v>
      </c>
      <c r="I8" s="25">
        <v>0.81499999999999995</v>
      </c>
      <c r="J8" s="25"/>
      <c r="K8" s="25">
        <v>0.186</v>
      </c>
      <c r="L8" s="25">
        <v>4.0000000000000002E-4</v>
      </c>
      <c r="M8" s="24">
        <v>2</v>
      </c>
      <c r="N8" s="20"/>
      <c r="O8" s="20"/>
      <c r="P8" s="20"/>
      <c r="Q8" s="20"/>
      <c r="R8" s="20"/>
      <c r="S8" s="20"/>
      <c r="T8" s="20"/>
      <c r="U8" s="20"/>
      <c r="V8" s="20"/>
      <c r="W8" s="20"/>
      <c r="X8" s="27">
        <v>0.89795918367346939</v>
      </c>
      <c r="Y8" s="28">
        <v>8.358640134597739E-2</v>
      </c>
      <c r="Z8" s="86"/>
      <c r="AA8" s="34"/>
      <c r="AB8" s="34"/>
      <c r="AC8" s="24"/>
      <c r="AD8" s="24"/>
      <c r="AE8" s="24"/>
      <c r="AF8" s="24"/>
      <c r="AG8" s="24"/>
      <c r="AH8" s="59"/>
      <c r="AI8" s="59"/>
      <c r="AJ8" s="104" t="e">
        <f>#REF!</f>
        <v>#REF!</v>
      </c>
      <c r="AK8" s="96"/>
      <c r="AL8" s="1"/>
      <c r="AM8" s="2"/>
      <c r="AN8" s="21"/>
      <c r="AO8" s="21"/>
      <c r="AP8" s="21"/>
      <c r="AQ8" s="21"/>
    </row>
    <row r="9" spans="1:43" ht="15.75" customHeight="1">
      <c r="A9" s="14">
        <v>2</v>
      </c>
      <c r="B9" s="15" t="s">
        <v>25</v>
      </c>
      <c r="C9" s="31">
        <v>2</v>
      </c>
      <c r="D9" s="26">
        <v>2014</v>
      </c>
      <c r="E9" s="26" t="s">
        <v>113</v>
      </c>
      <c r="F9" s="25">
        <v>4.2299999999999997E-2</v>
      </c>
      <c r="G9" s="32">
        <v>0.13750000000000001</v>
      </c>
      <c r="H9" s="25">
        <v>0.93969999999999998</v>
      </c>
      <c r="I9" s="25">
        <v>0.85919999999999996</v>
      </c>
      <c r="J9" s="35">
        <v>9.8519999999999996E-2</v>
      </c>
      <c r="K9" s="25">
        <v>0.33879999999999999</v>
      </c>
      <c r="L9" s="25">
        <v>8.6999999999999994E-3</v>
      </c>
      <c r="M9" s="23">
        <v>2</v>
      </c>
      <c r="N9" s="23">
        <v>2</v>
      </c>
      <c r="O9" s="23">
        <v>2</v>
      </c>
      <c r="P9" s="23">
        <v>2</v>
      </c>
      <c r="Q9" s="23">
        <v>2</v>
      </c>
      <c r="R9" s="23">
        <v>2</v>
      </c>
      <c r="S9" s="23">
        <v>2</v>
      </c>
      <c r="T9" s="23">
        <v>2</v>
      </c>
      <c r="U9" s="23">
        <v>2</v>
      </c>
      <c r="V9" s="23">
        <v>2</v>
      </c>
      <c r="W9" s="23">
        <v>2</v>
      </c>
      <c r="X9" s="27">
        <v>0.7142857142857143</v>
      </c>
      <c r="Y9" s="28">
        <v>0.2744963758742896</v>
      </c>
      <c r="Z9" s="29">
        <v>0</v>
      </c>
      <c r="AA9" s="22">
        <v>0</v>
      </c>
      <c r="AB9" s="22">
        <v>0</v>
      </c>
      <c r="AC9" s="23">
        <v>12</v>
      </c>
      <c r="AD9" s="23">
        <v>12</v>
      </c>
      <c r="AE9" s="23"/>
      <c r="AF9" s="23"/>
      <c r="AG9" s="23">
        <v>1</v>
      </c>
      <c r="AH9" s="58">
        <v>0.99299999999999999</v>
      </c>
      <c r="AI9" s="58">
        <v>2.5600000000000001E-2</v>
      </c>
      <c r="AJ9" s="104" t="s">
        <v>129</v>
      </c>
      <c r="AK9" s="96" t="s">
        <v>122</v>
      </c>
      <c r="AL9" s="120" t="s">
        <v>120</v>
      </c>
      <c r="AM9" s="121"/>
      <c r="AN9" s="21"/>
      <c r="AO9" s="21"/>
      <c r="AP9" s="21"/>
      <c r="AQ9" s="21"/>
    </row>
    <row r="10" spans="1:43" ht="15.75" customHeight="1">
      <c r="A10" s="14"/>
      <c r="B10" s="15" t="s">
        <v>25</v>
      </c>
      <c r="C10" s="31">
        <v>2</v>
      </c>
      <c r="D10" s="26">
        <v>2015</v>
      </c>
      <c r="E10" s="26"/>
      <c r="F10" s="25">
        <v>5.2400000000000002E-2</v>
      </c>
      <c r="G10" s="32">
        <v>0.1789</v>
      </c>
      <c r="H10" s="25">
        <v>0.95540000000000003</v>
      </c>
      <c r="I10" s="25">
        <v>0.85319999999999996</v>
      </c>
      <c r="J10" s="35">
        <v>7.7660000000000007E-2</v>
      </c>
      <c r="K10" s="25">
        <v>0.3009</v>
      </c>
      <c r="L10" s="25">
        <v>1.6999999999999999E-3</v>
      </c>
      <c r="M10" s="54">
        <v>2</v>
      </c>
      <c r="N10" s="23">
        <v>2</v>
      </c>
      <c r="O10" s="23">
        <v>2</v>
      </c>
      <c r="P10" s="23">
        <v>2</v>
      </c>
      <c r="Q10" s="23">
        <v>2</v>
      </c>
      <c r="R10" s="23">
        <v>2</v>
      </c>
      <c r="S10" s="23">
        <v>2</v>
      </c>
      <c r="T10" s="23">
        <v>2</v>
      </c>
      <c r="U10" s="23">
        <v>2</v>
      </c>
      <c r="V10" s="23">
        <v>2</v>
      </c>
      <c r="W10" s="23">
        <v>2</v>
      </c>
      <c r="X10" s="27">
        <v>0.67346938775510201</v>
      </c>
      <c r="Y10" s="28">
        <v>0.30072885969147833</v>
      </c>
      <c r="Z10" s="29">
        <v>0</v>
      </c>
      <c r="AA10" s="22">
        <v>0</v>
      </c>
      <c r="AB10" s="22">
        <v>0</v>
      </c>
      <c r="AC10" s="23">
        <v>12</v>
      </c>
      <c r="AD10" s="23">
        <v>12</v>
      </c>
      <c r="AE10" s="23"/>
      <c r="AF10" s="23"/>
      <c r="AG10" s="23">
        <v>1</v>
      </c>
      <c r="AH10" s="58">
        <v>0.99680000000000002</v>
      </c>
      <c r="AI10" s="58">
        <v>3.7100000000000001E-2</v>
      </c>
      <c r="AJ10" s="104" t="s">
        <v>130</v>
      </c>
      <c r="AK10" s="96" t="s">
        <v>122</v>
      </c>
      <c r="AL10" s="1">
        <v>5</v>
      </c>
      <c r="AM10" s="2">
        <v>1</v>
      </c>
      <c r="AN10" s="21"/>
      <c r="AO10" s="21"/>
      <c r="AP10" s="21"/>
      <c r="AQ10" s="21"/>
    </row>
    <row r="11" spans="1:43" ht="15.75" customHeight="1">
      <c r="A11" s="14"/>
      <c r="B11" s="15" t="s">
        <v>25</v>
      </c>
      <c r="C11" s="16">
        <v>2</v>
      </c>
      <c r="D11" s="26">
        <v>2016</v>
      </c>
      <c r="E11" s="26"/>
      <c r="F11" s="25">
        <v>8.9800000000000005E-2</v>
      </c>
      <c r="G11" s="32">
        <v>0.31709999999999999</v>
      </c>
      <c r="H11" s="25">
        <v>0.92749999999999999</v>
      </c>
      <c r="I11" s="25">
        <v>0.75139999999999996</v>
      </c>
      <c r="J11" s="35">
        <v>6.0650000000000003E-2</v>
      </c>
      <c r="K11" s="25">
        <v>0.23799999999999999</v>
      </c>
      <c r="L11" s="25">
        <v>2E-3</v>
      </c>
      <c r="M11" s="23">
        <v>2</v>
      </c>
      <c r="N11" s="23">
        <v>2</v>
      </c>
      <c r="O11" s="23">
        <v>2</v>
      </c>
      <c r="P11" s="23">
        <v>2</v>
      </c>
      <c r="Q11" s="23">
        <v>2</v>
      </c>
      <c r="R11" s="23">
        <v>2</v>
      </c>
      <c r="S11" s="23">
        <v>2</v>
      </c>
      <c r="T11" s="23">
        <v>2</v>
      </c>
      <c r="U11" s="23">
        <v>2</v>
      </c>
      <c r="V11" s="23">
        <v>2</v>
      </c>
      <c r="W11" s="23">
        <v>2</v>
      </c>
      <c r="X11" s="27">
        <v>0.67346938775510201</v>
      </c>
      <c r="Y11" s="28">
        <v>0.30402519503718722</v>
      </c>
      <c r="Z11" s="29">
        <v>0</v>
      </c>
      <c r="AA11" s="22">
        <v>0</v>
      </c>
      <c r="AB11" s="22">
        <v>0</v>
      </c>
      <c r="AC11" s="23">
        <v>12</v>
      </c>
      <c r="AD11" s="23">
        <v>12</v>
      </c>
      <c r="AE11" s="23"/>
      <c r="AF11" s="23"/>
      <c r="AG11" s="23">
        <v>1</v>
      </c>
      <c r="AH11" s="58">
        <v>0.99780000000000002</v>
      </c>
      <c r="AI11" s="58">
        <v>8.5199999999999998E-2</v>
      </c>
      <c r="AJ11" s="104" t="s">
        <v>131</v>
      </c>
      <c r="AK11" s="96" t="s">
        <v>122</v>
      </c>
      <c r="AL11" s="1" t="s">
        <v>123</v>
      </c>
      <c r="AM11" s="2">
        <v>0</v>
      </c>
      <c r="AN11" s="21"/>
      <c r="AO11" s="21"/>
      <c r="AP11" s="21"/>
      <c r="AQ11" s="21"/>
    </row>
    <row r="12" spans="1:43" ht="15.75" customHeight="1">
      <c r="A12" s="14"/>
      <c r="B12" s="15" t="s">
        <v>25</v>
      </c>
      <c r="C12" s="16">
        <v>2</v>
      </c>
      <c r="D12" s="26">
        <v>2017</v>
      </c>
      <c r="E12" s="26"/>
      <c r="F12" s="25">
        <v>0.112</v>
      </c>
      <c r="G12" s="32">
        <v>0.36499999999999999</v>
      </c>
      <c r="H12" s="25">
        <v>0.92500000000000004</v>
      </c>
      <c r="I12" s="25">
        <v>0.71230000000000004</v>
      </c>
      <c r="J12" s="35">
        <v>8.8539999999999994E-2</v>
      </c>
      <c r="K12" s="25">
        <v>0.28899999999999998</v>
      </c>
      <c r="L12" s="25">
        <v>1E-3</v>
      </c>
      <c r="M12" s="23">
        <v>2</v>
      </c>
      <c r="N12" s="23">
        <v>2</v>
      </c>
      <c r="O12" s="23">
        <v>2</v>
      </c>
      <c r="P12" s="23">
        <v>2</v>
      </c>
      <c r="Q12" s="23">
        <v>2</v>
      </c>
      <c r="R12" s="23">
        <v>2</v>
      </c>
      <c r="S12" s="23">
        <v>2</v>
      </c>
      <c r="T12" s="23">
        <v>2</v>
      </c>
      <c r="U12" s="23">
        <v>2</v>
      </c>
      <c r="V12" s="23">
        <v>2</v>
      </c>
      <c r="W12" s="23">
        <v>2</v>
      </c>
      <c r="X12" s="27">
        <v>0.69387755102040816</v>
      </c>
      <c r="Y12" s="28">
        <v>0.30942305386259106</v>
      </c>
      <c r="Z12" s="29">
        <v>0</v>
      </c>
      <c r="AA12" s="22">
        <v>1</v>
      </c>
      <c r="AB12" s="22">
        <v>1</v>
      </c>
      <c r="AC12" s="23">
        <v>2</v>
      </c>
      <c r="AD12" s="23">
        <v>2</v>
      </c>
      <c r="AE12" s="23">
        <v>10</v>
      </c>
      <c r="AF12" s="23">
        <v>9</v>
      </c>
      <c r="AG12" s="23">
        <v>1</v>
      </c>
      <c r="AH12" s="58">
        <v>0.99739999999999995</v>
      </c>
      <c r="AI12" s="58">
        <v>0.13089999999999999</v>
      </c>
      <c r="AJ12" s="104" t="s">
        <v>132</v>
      </c>
      <c r="AK12" s="96" t="s">
        <v>122</v>
      </c>
      <c r="AL12" s="1"/>
      <c r="AM12" s="2"/>
      <c r="AN12" s="21"/>
      <c r="AO12" s="21"/>
      <c r="AP12" s="21"/>
      <c r="AQ12" s="21"/>
    </row>
    <row r="13" spans="1:43" ht="15.75" customHeight="1">
      <c r="A13" s="14"/>
      <c r="B13" s="15" t="s">
        <v>25</v>
      </c>
      <c r="C13" s="16">
        <v>2</v>
      </c>
      <c r="D13" s="26">
        <v>2018</v>
      </c>
      <c r="E13" s="26"/>
      <c r="F13" s="25">
        <v>0.124</v>
      </c>
      <c r="G13" s="32">
        <v>0.308</v>
      </c>
      <c r="H13" s="25">
        <v>0.95599999999999996</v>
      </c>
      <c r="I13" s="25">
        <v>0.624</v>
      </c>
      <c r="J13" s="35">
        <v>5.0340000000000003E-2</v>
      </c>
      <c r="K13" s="25">
        <v>0.40899999999999997</v>
      </c>
      <c r="L13" s="25">
        <v>2.0000000000000001E-4</v>
      </c>
      <c r="M13" s="23">
        <v>2</v>
      </c>
      <c r="N13" s="23">
        <v>2</v>
      </c>
      <c r="O13" s="23">
        <v>2</v>
      </c>
      <c r="P13" s="23">
        <v>2</v>
      </c>
      <c r="Q13" s="23">
        <v>2</v>
      </c>
      <c r="R13" s="23">
        <v>2</v>
      </c>
      <c r="S13" s="23">
        <v>2</v>
      </c>
      <c r="T13" s="23">
        <v>2</v>
      </c>
      <c r="U13" s="23">
        <v>2</v>
      </c>
      <c r="V13" s="23">
        <v>2</v>
      </c>
      <c r="W13" s="23">
        <v>2</v>
      </c>
      <c r="X13" s="27">
        <v>0.69387755102040816</v>
      </c>
      <c r="Y13" s="28">
        <v>0.25579563553453177</v>
      </c>
      <c r="Z13" s="29">
        <v>0</v>
      </c>
      <c r="AA13" s="22">
        <v>0</v>
      </c>
      <c r="AB13" s="22">
        <v>0</v>
      </c>
      <c r="AC13" s="23">
        <v>12</v>
      </c>
      <c r="AD13" s="23">
        <v>11</v>
      </c>
      <c r="AE13" s="23"/>
      <c r="AF13" s="23"/>
      <c r="AG13" s="23">
        <v>1</v>
      </c>
      <c r="AH13" s="58">
        <v>0.99619999999999997</v>
      </c>
      <c r="AI13" s="58">
        <v>0.44579999999999997</v>
      </c>
      <c r="AJ13" s="104" t="s">
        <v>133</v>
      </c>
      <c r="AK13" s="96" t="s">
        <v>122</v>
      </c>
      <c r="AL13" s="1"/>
      <c r="AM13" s="2"/>
      <c r="AN13" s="21"/>
      <c r="AO13" s="21"/>
      <c r="AP13" s="21"/>
      <c r="AQ13" s="21"/>
    </row>
    <row r="14" spans="1:43" ht="15.75" customHeight="1">
      <c r="A14" s="14"/>
      <c r="B14" s="15" t="s">
        <v>25</v>
      </c>
      <c r="C14" s="16">
        <v>2</v>
      </c>
      <c r="D14" s="26">
        <v>2019</v>
      </c>
      <c r="E14" s="26"/>
      <c r="F14" s="25">
        <v>0.1358</v>
      </c>
      <c r="G14" s="25">
        <v>2.5999999999999999E-3</v>
      </c>
      <c r="H14" s="25">
        <v>0.95269999999999999</v>
      </c>
      <c r="I14" s="25">
        <v>0.58069999999999999</v>
      </c>
      <c r="J14" s="25">
        <v>1.017E-2</v>
      </c>
      <c r="K14" s="25">
        <v>0.44569999999999999</v>
      </c>
      <c r="L14" s="25">
        <v>2.5999999999999999E-3</v>
      </c>
      <c r="M14" s="24">
        <v>2</v>
      </c>
      <c r="N14" s="24">
        <v>2</v>
      </c>
      <c r="O14" s="24">
        <v>2</v>
      </c>
      <c r="P14" s="24">
        <v>2</v>
      </c>
      <c r="Q14" s="24">
        <v>2</v>
      </c>
      <c r="R14" s="24">
        <v>2</v>
      </c>
      <c r="S14" s="24">
        <v>2</v>
      </c>
      <c r="T14" s="24">
        <v>2</v>
      </c>
      <c r="U14" s="24">
        <v>2</v>
      </c>
      <c r="V14" s="24">
        <v>2</v>
      </c>
      <c r="W14" s="24">
        <v>2</v>
      </c>
      <c r="X14" s="27">
        <v>0.7142857142857143</v>
      </c>
      <c r="Y14" s="28">
        <v>0.12228169754244902</v>
      </c>
      <c r="Z14" s="29">
        <v>0</v>
      </c>
      <c r="AA14" s="22">
        <v>0</v>
      </c>
      <c r="AB14" s="22">
        <v>0</v>
      </c>
      <c r="AC14" s="23">
        <v>12</v>
      </c>
      <c r="AD14" s="23">
        <v>11</v>
      </c>
      <c r="AE14" s="23"/>
      <c r="AF14" s="23"/>
      <c r="AG14" s="23">
        <v>1</v>
      </c>
      <c r="AH14" s="58">
        <v>0.99570000000000003</v>
      </c>
      <c r="AI14" s="58">
        <v>0.4728</v>
      </c>
      <c r="AJ14" s="104" t="s">
        <v>134</v>
      </c>
      <c r="AK14" s="96" t="s">
        <v>122</v>
      </c>
      <c r="AL14" s="1"/>
      <c r="AM14" s="2"/>
      <c r="AN14" s="21"/>
      <c r="AO14" s="21"/>
      <c r="AP14" s="21"/>
      <c r="AQ14" s="21"/>
    </row>
    <row r="15" spans="1:43" ht="15.75" hidden="1" customHeight="1">
      <c r="A15" s="14"/>
      <c r="B15" s="15" t="s">
        <v>25</v>
      </c>
      <c r="C15" s="16">
        <v>2</v>
      </c>
      <c r="D15" s="26">
        <v>2020</v>
      </c>
      <c r="E15" s="26"/>
      <c r="F15" s="25">
        <v>7.1599999999999997E-2</v>
      </c>
      <c r="G15" s="25"/>
      <c r="H15" s="25">
        <v>0.97370000000000001</v>
      </c>
      <c r="I15" s="25">
        <v>0.72419999999999995</v>
      </c>
      <c r="J15" s="25"/>
      <c r="K15" s="25">
        <v>0.49440000000000001</v>
      </c>
      <c r="L15" s="25">
        <v>2.0000000000000001E-4</v>
      </c>
      <c r="M15" s="24">
        <v>2</v>
      </c>
      <c r="N15" s="20"/>
      <c r="O15" s="20"/>
      <c r="P15" s="20"/>
      <c r="Q15" s="20"/>
      <c r="R15" s="20"/>
      <c r="S15" s="20"/>
      <c r="T15" s="20"/>
      <c r="U15" s="20"/>
      <c r="V15" s="20"/>
      <c r="W15" s="20"/>
      <c r="X15" s="27">
        <v>0.7142857142857143</v>
      </c>
      <c r="Y15" s="28">
        <v>6.8125321531694094E-2</v>
      </c>
      <c r="Z15" s="29"/>
      <c r="AA15" s="34"/>
      <c r="AB15" s="34"/>
      <c r="AC15" s="24"/>
      <c r="AD15" s="24"/>
      <c r="AE15" s="24"/>
      <c r="AF15" s="24"/>
      <c r="AG15" s="24"/>
      <c r="AH15" s="56"/>
      <c r="AI15" s="56"/>
      <c r="AJ15" s="105" t="e">
        <f>#REF!</f>
        <v>#REF!</v>
      </c>
      <c r="AK15" s="96"/>
      <c r="AL15" s="1"/>
      <c r="AM15" s="2"/>
      <c r="AN15" s="21"/>
      <c r="AO15" s="21"/>
      <c r="AP15" s="21"/>
      <c r="AQ15" s="21"/>
    </row>
    <row r="16" spans="1:43" ht="15.75" customHeight="1">
      <c r="A16" s="14">
        <v>3</v>
      </c>
      <c r="B16" s="15" t="s">
        <v>26</v>
      </c>
      <c r="C16" s="16">
        <v>3</v>
      </c>
      <c r="D16" s="26">
        <v>2003</v>
      </c>
      <c r="E16" s="75">
        <v>36465</v>
      </c>
      <c r="F16" s="25">
        <v>1.04E-2</v>
      </c>
      <c r="G16" s="25">
        <v>3.61E-2</v>
      </c>
      <c r="H16" s="97"/>
      <c r="I16" s="97"/>
      <c r="J16" s="97"/>
      <c r="K16" s="25">
        <v>0.2087</v>
      </c>
      <c r="L16" s="97"/>
      <c r="M16" s="76"/>
      <c r="N16" s="76"/>
      <c r="O16" s="76"/>
      <c r="P16" s="76"/>
      <c r="Q16" s="76"/>
      <c r="R16" s="76"/>
      <c r="S16" s="76"/>
      <c r="T16" s="76"/>
      <c r="U16" s="76"/>
      <c r="V16" s="76"/>
      <c r="W16" s="76"/>
      <c r="X16" s="68"/>
      <c r="Y16" s="88"/>
      <c r="Z16" s="98"/>
      <c r="AA16" s="76"/>
      <c r="AB16" s="76"/>
      <c r="AC16" s="76"/>
      <c r="AD16" s="76"/>
      <c r="AE16" s="76"/>
      <c r="AF16" s="76"/>
      <c r="AG16" s="76"/>
      <c r="AH16" s="56"/>
      <c r="AI16" s="56"/>
      <c r="AJ16" s="105"/>
      <c r="AK16" s="96"/>
      <c r="AL16" s="1"/>
      <c r="AM16" s="2"/>
      <c r="AN16" s="21"/>
      <c r="AO16" s="21"/>
      <c r="AP16" s="21"/>
      <c r="AQ16" s="21"/>
    </row>
    <row r="17" spans="1:43" ht="15.75" customHeight="1">
      <c r="A17" s="14"/>
      <c r="B17" s="15" t="s">
        <v>26</v>
      </c>
      <c r="C17" s="16">
        <v>3</v>
      </c>
      <c r="D17" s="26">
        <v>2004</v>
      </c>
      <c r="E17" s="75"/>
      <c r="F17" s="25">
        <v>2.86E-2</v>
      </c>
      <c r="G17" s="25">
        <v>0.22800000000000001</v>
      </c>
      <c r="H17" s="97"/>
      <c r="I17" s="97"/>
      <c r="J17" s="97"/>
      <c r="K17" s="25">
        <v>0.1057</v>
      </c>
      <c r="L17" s="97"/>
      <c r="M17" s="76"/>
      <c r="N17" s="76"/>
      <c r="O17" s="76"/>
      <c r="P17" s="76"/>
      <c r="Q17" s="76"/>
      <c r="R17" s="76"/>
      <c r="S17" s="76"/>
      <c r="T17" s="76"/>
      <c r="U17" s="76"/>
      <c r="V17" s="76"/>
      <c r="W17" s="76"/>
      <c r="X17" s="68"/>
      <c r="Y17" s="88"/>
      <c r="Z17" s="98"/>
      <c r="AA17" s="76"/>
      <c r="AB17" s="76"/>
      <c r="AC17" s="76"/>
      <c r="AD17" s="76"/>
      <c r="AE17" s="76"/>
      <c r="AF17" s="76"/>
      <c r="AG17" s="76"/>
      <c r="AH17" s="56"/>
      <c r="AI17" s="56"/>
      <c r="AJ17" s="105"/>
      <c r="AK17" s="96"/>
      <c r="AL17" s="1"/>
      <c r="AM17" s="2"/>
      <c r="AN17" s="21"/>
      <c r="AO17" s="21"/>
      <c r="AP17" s="21"/>
      <c r="AQ17" s="21"/>
    </row>
    <row r="18" spans="1:43" ht="15.75" customHeight="1">
      <c r="A18" s="14"/>
      <c r="B18" s="15" t="s">
        <v>26</v>
      </c>
      <c r="C18" s="16">
        <v>3</v>
      </c>
      <c r="D18" s="26">
        <v>2005</v>
      </c>
      <c r="E18" s="75"/>
      <c r="F18" s="25">
        <v>1.83E-2</v>
      </c>
      <c r="G18" s="25">
        <v>0.14560000000000001</v>
      </c>
      <c r="H18" s="97"/>
      <c r="I18" s="97"/>
      <c r="J18" s="97"/>
      <c r="K18" s="25">
        <v>0.1188</v>
      </c>
      <c r="L18" s="97"/>
      <c r="M18" s="76"/>
      <c r="N18" s="76"/>
      <c r="O18" s="76"/>
      <c r="P18" s="76"/>
      <c r="Q18" s="76"/>
      <c r="R18" s="76"/>
      <c r="S18" s="76"/>
      <c r="T18" s="76"/>
      <c r="U18" s="76"/>
      <c r="V18" s="76"/>
      <c r="W18" s="76"/>
      <c r="X18" s="68"/>
      <c r="Y18" s="88"/>
      <c r="Z18" s="98"/>
      <c r="AA18" s="76"/>
      <c r="AB18" s="76"/>
      <c r="AC18" s="76"/>
      <c r="AD18" s="76"/>
      <c r="AE18" s="76"/>
      <c r="AF18" s="76"/>
      <c r="AG18" s="76"/>
      <c r="AH18" s="56"/>
      <c r="AI18" s="56"/>
      <c r="AJ18" s="105"/>
      <c r="AK18" s="96"/>
      <c r="AL18" s="1"/>
      <c r="AM18" s="2"/>
      <c r="AN18" s="21"/>
      <c r="AO18" s="21"/>
      <c r="AP18" s="21"/>
      <c r="AQ18" s="21"/>
    </row>
    <row r="19" spans="1:43" ht="15.75" customHeight="1">
      <c r="A19" s="14"/>
      <c r="B19" s="15" t="s">
        <v>26</v>
      </c>
      <c r="C19" s="16">
        <v>3</v>
      </c>
      <c r="D19" s="26">
        <v>2006</v>
      </c>
      <c r="E19" s="75"/>
      <c r="F19" s="25">
        <v>1.0999999999999999E-2</v>
      </c>
      <c r="G19" s="25">
        <v>0.1023</v>
      </c>
      <c r="H19" s="97"/>
      <c r="I19" s="97"/>
      <c r="J19" s="97"/>
      <c r="K19" s="25">
        <v>0.12559999999999999</v>
      </c>
      <c r="L19" s="97"/>
      <c r="M19" s="76"/>
      <c r="N19" s="76"/>
      <c r="O19" s="76"/>
      <c r="P19" s="76"/>
      <c r="Q19" s="76"/>
      <c r="R19" s="76"/>
      <c r="S19" s="76"/>
      <c r="T19" s="76"/>
      <c r="U19" s="76"/>
      <c r="V19" s="76"/>
      <c r="W19" s="76"/>
      <c r="X19" s="68"/>
      <c r="Y19" s="88"/>
      <c r="Z19" s="98"/>
      <c r="AA19" s="76"/>
      <c r="AB19" s="76"/>
      <c r="AC19" s="76"/>
      <c r="AD19" s="76"/>
      <c r="AE19" s="76"/>
      <c r="AF19" s="76"/>
      <c r="AG19" s="76"/>
      <c r="AH19" s="56"/>
      <c r="AI19" s="56"/>
      <c r="AJ19" s="105"/>
      <c r="AK19" s="96"/>
      <c r="AL19" s="1"/>
      <c r="AM19" s="2"/>
      <c r="AN19" s="21"/>
      <c r="AO19" s="21"/>
      <c r="AP19" s="21"/>
      <c r="AQ19" s="21"/>
    </row>
    <row r="20" spans="1:43" ht="15.75" customHeight="1">
      <c r="A20" s="14"/>
      <c r="B20" s="15" t="s">
        <v>26</v>
      </c>
      <c r="C20" s="16">
        <v>3</v>
      </c>
      <c r="D20" s="26">
        <v>2007</v>
      </c>
      <c r="E20" s="75"/>
      <c r="F20" s="97"/>
      <c r="G20" s="97"/>
      <c r="H20" s="97"/>
      <c r="I20" s="97"/>
      <c r="J20" s="97"/>
      <c r="K20" s="97"/>
      <c r="L20" s="97"/>
      <c r="M20" s="76"/>
      <c r="N20" s="76"/>
      <c r="O20" s="76"/>
      <c r="P20" s="76"/>
      <c r="Q20" s="76"/>
      <c r="R20" s="76"/>
      <c r="S20" s="76"/>
      <c r="T20" s="76"/>
      <c r="U20" s="76"/>
      <c r="V20" s="76"/>
      <c r="W20" s="76"/>
      <c r="X20" s="68"/>
      <c r="Y20" s="88"/>
      <c r="Z20" s="98"/>
      <c r="AA20" s="76"/>
      <c r="AB20" s="76"/>
      <c r="AC20" s="76"/>
      <c r="AD20" s="76"/>
      <c r="AE20" s="76"/>
      <c r="AF20" s="76"/>
      <c r="AG20" s="76"/>
      <c r="AH20" s="56"/>
      <c r="AI20" s="56"/>
      <c r="AJ20" s="105"/>
      <c r="AK20" s="96"/>
      <c r="AL20" s="1"/>
      <c r="AM20" s="2"/>
      <c r="AN20" s="21"/>
      <c r="AO20" s="21"/>
      <c r="AP20" s="21"/>
      <c r="AQ20" s="21"/>
    </row>
    <row r="21" spans="1:43" ht="15.75" customHeight="1">
      <c r="A21" s="14"/>
      <c r="B21" s="15" t="s">
        <v>26</v>
      </c>
      <c r="C21" s="16">
        <v>3</v>
      </c>
      <c r="D21" s="26">
        <v>2008</v>
      </c>
      <c r="E21" s="75"/>
      <c r="F21" s="97"/>
      <c r="G21" s="97"/>
      <c r="H21" s="97"/>
      <c r="I21" s="97"/>
      <c r="J21" s="97"/>
      <c r="K21" s="97"/>
      <c r="L21" s="97"/>
      <c r="M21" s="76"/>
      <c r="N21" s="76"/>
      <c r="O21" s="76"/>
      <c r="P21" s="76"/>
      <c r="Q21" s="76"/>
      <c r="R21" s="76"/>
      <c r="S21" s="76"/>
      <c r="T21" s="76"/>
      <c r="U21" s="76"/>
      <c r="V21" s="76"/>
      <c r="W21" s="76"/>
      <c r="X21" s="68"/>
      <c r="Y21" s="88"/>
      <c r="Z21" s="98"/>
      <c r="AA21" s="76"/>
      <c r="AB21" s="76"/>
      <c r="AC21" s="76"/>
      <c r="AD21" s="76"/>
      <c r="AE21" s="76"/>
      <c r="AF21" s="76"/>
      <c r="AG21" s="76"/>
      <c r="AH21" s="56"/>
      <c r="AI21" s="56"/>
      <c r="AJ21" s="105"/>
      <c r="AK21" s="96"/>
      <c r="AL21" s="1"/>
      <c r="AM21" s="2"/>
      <c r="AN21" s="21"/>
      <c r="AO21" s="21"/>
      <c r="AP21" s="21"/>
      <c r="AQ21" s="21"/>
    </row>
    <row r="22" spans="1:43" ht="15.75" customHeight="1">
      <c r="A22" s="14"/>
      <c r="B22" s="15" t="s">
        <v>26</v>
      </c>
      <c r="C22" s="16">
        <v>3</v>
      </c>
      <c r="D22" s="26">
        <v>2009</v>
      </c>
      <c r="E22" s="75"/>
      <c r="F22" s="97"/>
      <c r="G22" s="97"/>
      <c r="H22" s="97"/>
      <c r="I22" s="97"/>
      <c r="J22" s="97"/>
      <c r="K22" s="97"/>
      <c r="L22" s="97"/>
      <c r="M22" s="76"/>
      <c r="N22" s="76"/>
      <c r="O22" s="76"/>
      <c r="P22" s="76"/>
      <c r="Q22" s="76"/>
      <c r="R22" s="76"/>
      <c r="S22" s="76"/>
      <c r="T22" s="76"/>
      <c r="U22" s="76"/>
      <c r="V22" s="76"/>
      <c r="W22" s="76"/>
      <c r="X22" s="36">
        <v>0.26450000000000001</v>
      </c>
      <c r="Y22" s="88"/>
      <c r="Z22" s="98"/>
      <c r="AA22" s="76"/>
      <c r="AB22" s="76"/>
      <c r="AC22" s="76"/>
      <c r="AD22" s="76"/>
      <c r="AE22" s="76"/>
      <c r="AF22" s="76"/>
      <c r="AG22" s="76"/>
      <c r="AH22" s="56"/>
      <c r="AI22" s="56"/>
      <c r="AJ22" s="105"/>
      <c r="AK22" s="96"/>
      <c r="AL22" s="1"/>
      <c r="AM22" s="2"/>
      <c r="AN22" s="21"/>
      <c r="AO22" s="21"/>
      <c r="AP22" s="21"/>
      <c r="AQ22" s="21"/>
    </row>
    <row r="23" spans="1:43" ht="15.75" customHeight="1">
      <c r="A23" s="14"/>
      <c r="B23" s="15" t="s">
        <v>26</v>
      </c>
      <c r="C23" s="16">
        <v>3</v>
      </c>
      <c r="D23" s="26">
        <v>2010</v>
      </c>
      <c r="E23" s="75"/>
      <c r="F23" s="25">
        <v>2.2100000000000002E-2</v>
      </c>
      <c r="G23" s="25">
        <v>0.63580000000000003</v>
      </c>
      <c r="H23" s="25">
        <v>0.82540000000000002</v>
      </c>
      <c r="I23" s="89">
        <v>0.67220000000000002</v>
      </c>
      <c r="J23" s="25">
        <v>6.5699999999999995E-2</v>
      </c>
      <c r="K23" s="25">
        <v>0.106</v>
      </c>
      <c r="L23" s="25">
        <v>1.29E-2</v>
      </c>
      <c r="M23" s="128" t="s">
        <v>124</v>
      </c>
      <c r="N23" s="129"/>
      <c r="O23" s="129"/>
      <c r="P23" s="129"/>
      <c r="Q23" s="129"/>
      <c r="R23" s="129"/>
      <c r="S23" s="129"/>
      <c r="T23" s="129"/>
      <c r="U23" s="129"/>
      <c r="V23" s="129"/>
      <c r="W23" s="130"/>
      <c r="X23" s="36">
        <v>0.25619999999999998</v>
      </c>
      <c r="Y23" s="88"/>
      <c r="Z23" s="65">
        <v>14582880510</v>
      </c>
      <c r="AA23" s="34">
        <v>1</v>
      </c>
      <c r="AB23" s="34">
        <v>1</v>
      </c>
      <c r="AC23" s="45">
        <v>7</v>
      </c>
      <c r="AD23" s="45">
        <v>7</v>
      </c>
      <c r="AE23" s="45">
        <v>7</v>
      </c>
      <c r="AF23" s="45"/>
      <c r="AG23" s="45">
        <v>1</v>
      </c>
      <c r="AH23" s="58">
        <v>0.99990000000000001</v>
      </c>
      <c r="AI23" s="59">
        <v>0.96079999999999999</v>
      </c>
      <c r="AJ23" s="104" t="s">
        <v>135</v>
      </c>
      <c r="AK23" s="96"/>
      <c r="AL23" s="1"/>
      <c r="AM23" s="2"/>
      <c r="AN23" s="21"/>
      <c r="AO23" s="21"/>
      <c r="AP23" s="21"/>
      <c r="AQ23" s="21"/>
    </row>
    <row r="24" spans="1:43" ht="15.75" customHeight="1">
      <c r="A24" s="14"/>
      <c r="B24" s="15" t="s">
        <v>26</v>
      </c>
      <c r="C24" s="16">
        <v>3</v>
      </c>
      <c r="D24" s="26">
        <v>2011</v>
      </c>
      <c r="E24" s="75"/>
      <c r="F24" s="25">
        <v>1.95E-2</v>
      </c>
      <c r="G24" s="25">
        <v>0.64839999999999998</v>
      </c>
      <c r="H24" s="25">
        <v>0.86029999999999995</v>
      </c>
      <c r="I24" s="89">
        <v>0.6643</v>
      </c>
      <c r="J24" s="25">
        <v>7.4800000000000005E-2</v>
      </c>
      <c r="K24" s="25">
        <v>0.1457</v>
      </c>
      <c r="L24" s="25">
        <v>9.4999999999999998E-3</v>
      </c>
      <c r="M24" s="131"/>
      <c r="N24" s="132"/>
      <c r="O24" s="132"/>
      <c r="P24" s="132"/>
      <c r="Q24" s="132"/>
      <c r="R24" s="132"/>
      <c r="S24" s="132"/>
      <c r="T24" s="132"/>
      <c r="U24" s="132"/>
      <c r="V24" s="132"/>
      <c r="W24" s="133"/>
      <c r="X24" s="36">
        <v>0.2727</v>
      </c>
      <c r="Y24" s="88"/>
      <c r="Z24" s="66">
        <v>19177801129</v>
      </c>
      <c r="AA24" s="77">
        <v>1</v>
      </c>
      <c r="AB24" s="77">
        <v>1</v>
      </c>
      <c r="AC24" s="45">
        <v>7</v>
      </c>
      <c r="AD24" s="45">
        <v>7</v>
      </c>
      <c r="AE24" s="45">
        <v>7</v>
      </c>
      <c r="AF24" s="45"/>
      <c r="AG24" s="45">
        <v>1</v>
      </c>
      <c r="AH24" s="58">
        <v>0.99970000000000003</v>
      </c>
      <c r="AI24" s="59">
        <v>0.13370000000000001</v>
      </c>
      <c r="AJ24" s="104" t="s">
        <v>136</v>
      </c>
      <c r="AK24" s="96"/>
      <c r="AL24" s="1"/>
      <c r="AM24" s="2"/>
      <c r="AN24" s="21"/>
      <c r="AO24" s="21"/>
      <c r="AP24" s="21"/>
      <c r="AQ24" s="21"/>
    </row>
    <row r="25" spans="1:43" ht="15.75" customHeight="1">
      <c r="B25" s="15" t="s">
        <v>26</v>
      </c>
      <c r="C25" s="16">
        <v>3</v>
      </c>
      <c r="D25" s="26">
        <v>2012</v>
      </c>
      <c r="F25" s="26" t="s">
        <v>27</v>
      </c>
      <c r="G25" s="25">
        <v>0.2505</v>
      </c>
      <c r="H25" s="26" t="s">
        <v>28</v>
      </c>
      <c r="I25" s="26" t="s">
        <v>29</v>
      </c>
      <c r="J25" s="25">
        <v>1.14E-2</v>
      </c>
      <c r="K25" s="26" t="s">
        <v>30</v>
      </c>
      <c r="L25" s="26" t="s">
        <v>31</v>
      </c>
      <c r="M25" s="24">
        <v>3</v>
      </c>
      <c r="N25" s="24">
        <v>3</v>
      </c>
      <c r="O25" s="24">
        <v>2.35</v>
      </c>
      <c r="P25" s="24">
        <v>2.35</v>
      </c>
      <c r="Q25" s="24">
        <v>2.35</v>
      </c>
      <c r="R25" s="24">
        <v>2.35</v>
      </c>
      <c r="S25" s="24">
        <v>2.35</v>
      </c>
      <c r="T25" s="24">
        <v>2.35</v>
      </c>
      <c r="U25" s="24">
        <v>1</v>
      </c>
      <c r="V25" s="24">
        <v>1</v>
      </c>
      <c r="W25" s="24">
        <v>2</v>
      </c>
      <c r="X25" s="36">
        <v>0.58299999999999996</v>
      </c>
      <c r="Y25" s="28"/>
      <c r="Z25" s="43">
        <v>28131606226</v>
      </c>
      <c r="AA25" s="34">
        <v>1</v>
      </c>
      <c r="AB25" s="34">
        <v>1</v>
      </c>
      <c r="AC25" s="24">
        <v>7</v>
      </c>
      <c r="AD25" s="24">
        <v>2</v>
      </c>
      <c r="AE25" s="24">
        <v>6</v>
      </c>
      <c r="AF25" s="24"/>
      <c r="AG25" s="24">
        <v>1</v>
      </c>
      <c r="AH25" s="58">
        <v>0.99829999999999997</v>
      </c>
      <c r="AI25" s="59">
        <v>0.12939999999999999</v>
      </c>
      <c r="AJ25" s="106">
        <v>1.4378629999999999</v>
      </c>
      <c r="AK25" s="96"/>
      <c r="AL25" s="1"/>
      <c r="AM25" s="2"/>
      <c r="AN25" s="21"/>
      <c r="AO25" s="21"/>
      <c r="AP25" s="21"/>
      <c r="AQ25" s="21"/>
    </row>
    <row r="26" spans="1:43" ht="15.75" customHeight="1">
      <c r="A26" s="14"/>
      <c r="B26" s="15" t="s">
        <v>26</v>
      </c>
      <c r="C26" s="16">
        <v>3</v>
      </c>
      <c r="D26" s="26">
        <v>2013</v>
      </c>
      <c r="E26" s="26"/>
      <c r="F26" s="25">
        <v>1.5299999999999999E-2</v>
      </c>
      <c r="G26" s="25">
        <v>0.15340000000000001</v>
      </c>
      <c r="H26" s="25">
        <v>0.89370000000000005</v>
      </c>
      <c r="I26" s="25">
        <v>0.84019999999999995</v>
      </c>
      <c r="J26" s="25">
        <v>2.29E-2</v>
      </c>
      <c r="K26" s="25">
        <v>0.14099999999999999</v>
      </c>
      <c r="L26" s="25">
        <v>4.3200000000000002E-2</v>
      </c>
      <c r="M26" s="24">
        <v>1.85</v>
      </c>
      <c r="N26" s="24">
        <v>1.85</v>
      </c>
      <c r="O26" s="24">
        <v>1.85</v>
      </c>
      <c r="P26" s="24">
        <v>1.85</v>
      </c>
      <c r="Q26" s="24">
        <v>1.85</v>
      </c>
      <c r="R26" s="24">
        <v>3</v>
      </c>
      <c r="S26" s="24">
        <v>1.85</v>
      </c>
      <c r="T26" s="24">
        <v>1.85</v>
      </c>
      <c r="U26" s="24">
        <v>1</v>
      </c>
      <c r="V26" s="24">
        <v>1</v>
      </c>
      <c r="W26" s="24">
        <v>1</v>
      </c>
      <c r="X26" s="36">
        <v>0.625</v>
      </c>
      <c r="Y26" s="28">
        <v>8.5015242710857503E-2</v>
      </c>
      <c r="Z26" s="43">
        <v>22662472354</v>
      </c>
      <c r="AA26" s="34">
        <v>1</v>
      </c>
      <c r="AB26" s="34">
        <v>1</v>
      </c>
      <c r="AC26" s="24">
        <v>14</v>
      </c>
      <c r="AD26" s="24">
        <v>10</v>
      </c>
      <c r="AE26" s="24">
        <v>12</v>
      </c>
      <c r="AF26" s="24"/>
      <c r="AG26" s="24">
        <v>1</v>
      </c>
      <c r="AH26" s="58">
        <v>0.99990000000000001</v>
      </c>
      <c r="AI26" s="59">
        <v>0.21971955000000001</v>
      </c>
      <c r="AJ26" s="106">
        <v>1.1589069999999999</v>
      </c>
      <c r="AK26" s="96"/>
      <c r="AL26" s="1"/>
      <c r="AM26" s="2"/>
      <c r="AN26" s="21"/>
      <c r="AO26" s="21"/>
      <c r="AP26" s="21"/>
      <c r="AQ26" s="21"/>
    </row>
    <row r="27" spans="1:43" ht="15.75" customHeight="1">
      <c r="A27" s="14"/>
      <c r="B27" s="15" t="s">
        <v>26</v>
      </c>
      <c r="C27" s="16">
        <v>3</v>
      </c>
      <c r="D27" s="26">
        <v>2014</v>
      </c>
      <c r="E27" s="26"/>
      <c r="F27" s="25">
        <v>1.6999999999999999E-3</v>
      </c>
      <c r="G27" s="32">
        <v>1.49E-2</v>
      </c>
      <c r="H27" s="25">
        <v>0.82130000000000003</v>
      </c>
      <c r="I27" s="25">
        <v>1.006</v>
      </c>
      <c r="J27" s="32">
        <v>4.2900000000000001E-2</v>
      </c>
      <c r="K27" s="25">
        <v>0.14119999999999999</v>
      </c>
      <c r="L27" s="25">
        <v>6.8400000000000002E-2</v>
      </c>
      <c r="M27" s="23">
        <v>2</v>
      </c>
      <c r="N27" s="23">
        <v>2</v>
      </c>
      <c r="O27" s="23">
        <v>2</v>
      </c>
      <c r="P27" s="23">
        <v>2</v>
      </c>
      <c r="Q27" s="23">
        <v>2</v>
      </c>
      <c r="R27" s="23">
        <v>2</v>
      </c>
      <c r="S27" s="23">
        <v>2</v>
      </c>
      <c r="T27" s="23">
        <v>2</v>
      </c>
      <c r="U27" s="23">
        <v>2</v>
      </c>
      <c r="V27" s="23">
        <v>2</v>
      </c>
      <c r="W27" s="23">
        <v>2</v>
      </c>
      <c r="X27" s="36">
        <v>0.64600000000000002</v>
      </c>
      <c r="Y27" s="28">
        <v>8.1949756002703877E-2</v>
      </c>
      <c r="Z27" s="43">
        <v>2815220867</v>
      </c>
      <c r="AA27" s="34">
        <v>1</v>
      </c>
      <c r="AB27" s="34">
        <v>1</v>
      </c>
      <c r="AC27" s="24">
        <v>8</v>
      </c>
      <c r="AD27" s="24">
        <v>5</v>
      </c>
      <c r="AE27" s="24">
        <v>11</v>
      </c>
      <c r="AF27" s="24"/>
      <c r="AG27" s="24">
        <v>1</v>
      </c>
      <c r="AH27" s="57">
        <v>0.99870000000000003</v>
      </c>
      <c r="AI27" s="57">
        <v>0.26599145000000002</v>
      </c>
      <c r="AJ27" s="104">
        <v>0.32743</v>
      </c>
      <c r="AK27" s="96"/>
      <c r="AL27" s="1"/>
      <c r="AM27" s="2"/>
      <c r="AN27" s="21"/>
      <c r="AO27" s="21"/>
      <c r="AP27" s="21"/>
      <c r="AQ27" s="21"/>
    </row>
    <row r="28" spans="1:43" ht="15.75" customHeight="1">
      <c r="A28" s="14"/>
      <c r="B28" s="15" t="s">
        <v>26</v>
      </c>
      <c r="C28" s="31">
        <v>3</v>
      </c>
      <c r="D28" s="26">
        <v>2015</v>
      </c>
      <c r="E28" s="26"/>
      <c r="F28" s="25">
        <v>5.5999999999999999E-3</v>
      </c>
      <c r="G28" s="32">
        <v>5.9200000000000003E-2</v>
      </c>
      <c r="H28" s="25">
        <v>0.81989999999999996</v>
      </c>
      <c r="I28" s="25">
        <v>0.94779999999999998</v>
      </c>
      <c r="J28" s="32">
        <v>6.5299999999999997E-2</v>
      </c>
      <c r="K28" s="25">
        <v>0.1285</v>
      </c>
      <c r="L28" s="25">
        <v>6.0600000000000001E-2</v>
      </c>
      <c r="M28" s="23">
        <v>2</v>
      </c>
      <c r="N28" s="23">
        <v>2</v>
      </c>
      <c r="O28" s="23">
        <v>2</v>
      </c>
      <c r="P28" s="23">
        <v>2</v>
      </c>
      <c r="Q28" s="23">
        <v>2</v>
      </c>
      <c r="R28" s="23">
        <v>2</v>
      </c>
      <c r="S28" s="23">
        <v>2</v>
      </c>
      <c r="T28" s="23">
        <v>2</v>
      </c>
      <c r="U28" s="23">
        <v>2</v>
      </c>
      <c r="V28" s="23">
        <v>2</v>
      </c>
      <c r="W28" s="23">
        <v>2</v>
      </c>
      <c r="X28" s="36">
        <v>0.75</v>
      </c>
      <c r="Y28" s="28">
        <v>8.4695746006282338E-2</v>
      </c>
      <c r="Z28" s="43">
        <v>9592982099</v>
      </c>
      <c r="AA28" s="34">
        <v>1</v>
      </c>
      <c r="AB28" s="34">
        <v>1</v>
      </c>
      <c r="AC28" s="24">
        <v>8</v>
      </c>
      <c r="AD28" s="24">
        <v>7</v>
      </c>
      <c r="AE28" s="24">
        <v>13</v>
      </c>
      <c r="AF28" s="24"/>
      <c r="AG28" s="24">
        <v>1</v>
      </c>
      <c r="AH28" s="57">
        <v>0.99980000000000002</v>
      </c>
      <c r="AI28" s="57">
        <v>0.28899999999999998</v>
      </c>
      <c r="AJ28" s="104">
        <v>0.13791</v>
      </c>
      <c r="AL28" s="1"/>
      <c r="AM28" s="2"/>
      <c r="AN28" s="21"/>
      <c r="AO28" s="21"/>
      <c r="AP28" s="21"/>
      <c r="AQ28" s="21"/>
    </row>
    <row r="29" spans="1:43" ht="15.75" customHeight="1">
      <c r="A29" s="14"/>
      <c r="B29" s="15" t="s">
        <v>26</v>
      </c>
      <c r="C29" s="31">
        <v>3</v>
      </c>
      <c r="D29" s="26">
        <v>2016</v>
      </c>
      <c r="E29" s="26"/>
      <c r="F29" s="25">
        <v>5.8999999999999999E-3</v>
      </c>
      <c r="G29" s="32">
        <v>5.8099999999999999E-2</v>
      </c>
      <c r="H29" s="25">
        <v>0.79190000000000005</v>
      </c>
      <c r="I29" s="25">
        <v>0.94120000000000004</v>
      </c>
      <c r="J29" s="32">
        <v>6.1600000000000002E-2</v>
      </c>
      <c r="K29" s="25">
        <v>0.1401</v>
      </c>
      <c r="L29" s="25">
        <v>4.9200000000000001E-2</v>
      </c>
      <c r="M29" s="23">
        <v>1</v>
      </c>
      <c r="N29" s="23">
        <v>1</v>
      </c>
      <c r="O29" s="23">
        <v>1</v>
      </c>
      <c r="P29" s="23">
        <v>1</v>
      </c>
      <c r="Q29" s="23">
        <v>1</v>
      </c>
      <c r="R29" s="23">
        <v>1</v>
      </c>
      <c r="S29" s="23">
        <v>1</v>
      </c>
      <c r="T29" s="23">
        <v>1</v>
      </c>
      <c r="U29" s="23">
        <v>1</v>
      </c>
      <c r="V29" s="23">
        <v>1</v>
      </c>
      <c r="W29" s="23">
        <v>1</v>
      </c>
      <c r="X29" s="116" t="s">
        <v>176</v>
      </c>
      <c r="Y29" s="28">
        <v>8.2046882091450446E-2</v>
      </c>
      <c r="Z29" s="43">
        <v>11146263639</v>
      </c>
      <c r="AA29" s="34">
        <v>1</v>
      </c>
      <c r="AB29" s="34">
        <v>1</v>
      </c>
      <c r="AC29" s="24" t="s">
        <v>24</v>
      </c>
      <c r="AD29" s="24">
        <v>9</v>
      </c>
      <c r="AE29" s="24">
        <v>12</v>
      </c>
      <c r="AF29" s="24"/>
      <c r="AG29" s="24">
        <v>1</v>
      </c>
      <c r="AH29" s="57">
        <v>0.99990000000000001</v>
      </c>
      <c r="AI29" s="57">
        <v>0.31241000000000002</v>
      </c>
      <c r="AJ29" s="104">
        <v>0.13191</v>
      </c>
      <c r="AK29" s="96"/>
      <c r="AL29" s="1"/>
      <c r="AM29" s="2"/>
      <c r="AN29" s="21"/>
      <c r="AO29" s="21"/>
      <c r="AP29" s="21"/>
      <c r="AQ29" s="21"/>
    </row>
    <row r="30" spans="1:43" ht="15.75" customHeight="1">
      <c r="A30" s="14"/>
      <c r="B30" s="15" t="s">
        <v>26</v>
      </c>
      <c r="C30" s="31">
        <v>3</v>
      </c>
      <c r="D30" s="26">
        <v>2017</v>
      </c>
      <c r="E30" s="26"/>
      <c r="F30" s="25">
        <v>5.8999999999999999E-3</v>
      </c>
      <c r="G30" s="32">
        <v>5.7200000000000001E-2</v>
      </c>
      <c r="H30" s="25">
        <v>0.77659999999999996</v>
      </c>
      <c r="I30" s="25">
        <v>0.94440000000000002</v>
      </c>
      <c r="J30" s="32">
        <v>7.3499999999999996E-2</v>
      </c>
      <c r="K30" s="25">
        <v>0.15890000000000001</v>
      </c>
      <c r="L30" s="25">
        <v>4.8500000000000001E-2</v>
      </c>
      <c r="M30" s="23">
        <v>1</v>
      </c>
      <c r="N30" s="23">
        <v>1</v>
      </c>
      <c r="O30" s="23">
        <v>1</v>
      </c>
      <c r="P30" s="23">
        <v>1</v>
      </c>
      <c r="Q30" s="23">
        <v>1</v>
      </c>
      <c r="R30" s="23">
        <v>1</v>
      </c>
      <c r="S30" s="23">
        <v>1</v>
      </c>
      <c r="T30" s="23">
        <v>1</v>
      </c>
      <c r="U30" s="23">
        <v>1</v>
      </c>
      <c r="V30" s="23">
        <v>1</v>
      </c>
      <c r="W30" s="23">
        <v>1</v>
      </c>
      <c r="X30" s="116" t="s">
        <v>177</v>
      </c>
      <c r="Y30" s="28">
        <v>8.2883152389659917E-2</v>
      </c>
      <c r="Z30" s="43">
        <v>12489000000</v>
      </c>
      <c r="AA30" s="34">
        <v>1</v>
      </c>
      <c r="AB30" s="34">
        <v>1</v>
      </c>
      <c r="AC30" s="24">
        <v>8</v>
      </c>
      <c r="AD30" s="24">
        <v>9</v>
      </c>
      <c r="AE30" s="24">
        <v>9</v>
      </c>
      <c r="AF30" s="24"/>
      <c r="AG30" s="24">
        <v>1</v>
      </c>
      <c r="AH30" s="57">
        <v>0.99990000000000001</v>
      </c>
      <c r="AI30" s="57">
        <v>0.34</v>
      </c>
      <c r="AJ30" s="104">
        <v>0.14940999999999999</v>
      </c>
      <c r="AK30" s="96"/>
      <c r="AL30" s="1"/>
      <c r="AM30" s="2"/>
      <c r="AN30" s="21"/>
      <c r="AO30" s="21"/>
      <c r="AP30" s="21"/>
      <c r="AQ30" s="21"/>
    </row>
    <row r="31" spans="1:43" ht="15.75" customHeight="1">
      <c r="A31" s="14"/>
      <c r="B31" s="15" t="s">
        <v>26</v>
      </c>
      <c r="C31" s="31">
        <v>3</v>
      </c>
      <c r="D31" s="26">
        <v>2018</v>
      </c>
      <c r="E31" s="26"/>
      <c r="F31" s="25">
        <v>8.8000000000000005E-3</v>
      </c>
      <c r="G31" s="32">
        <v>8.2100000000000006E-2</v>
      </c>
      <c r="H31" s="25">
        <v>0.77249999999999996</v>
      </c>
      <c r="I31" s="25">
        <v>0.90680000000000005</v>
      </c>
      <c r="J31" s="32">
        <v>6.5600000000000006E-2</v>
      </c>
      <c r="K31" s="25">
        <v>0.16259999999999999</v>
      </c>
      <c r="L31" s="25">
        <v>1.5599999999999999E-2</v>
      </c>
      <c r="M31" s="23">
        <v>1</v>
      </c>
      <c r="N31" s="23">
        <v>1</v>
      </c>
      <c r="O31" s="23">
        <v>1</v>
      </c>
      <c r="P31" s="23">
        <v>1</v>
      </c>
      <c r="Q31" s="23">
        <v>1</v>
      </c>
      <c r="R31" s="23">
        <v>1</v>
      </c>
      <c r="S31" s="23">
        <v>1</v>
      </c>
      <c r="T31" s="23">
        <v>1</v>
      </c>
      <c r="U31" s="23">
        <v>1</v>
      </c>
      <c r="V31" s="23">
        <v>1</v>
      </c>
      <c r="W31" s="23">
        <v>1</v>
      </c>
      <c r="X31" s="116" t="s">
        <v>178</v>
      </c>
      <c r="Y31" s="28">
        <v>7.8184927248537636E-2</v>
      </c>
      <c r="Z31" s="43">
        <v>20916000000</v>
      </c>
      <c r="AA31" s="34">
        <v>1</v>
      </c>
      <c r="AB31" s="34">
        <v>1</v>
      </c>
      <c r="AC31" s="24">
        <v>8</v>
      </c>
      <c r="AD31" s="24">
        <v>8</v>
      </c>
      <c r="AE31" s="24">
        <v>8</v>
      </c>
      <c r="AF31" s="24"/>
      <c r="AG31" s="24">
        <v>1</v>
      </c>
      <c r="AH31" s="57">
        <v>0.99990000000000001</v>
      </c>
      <c r="AI31" s="57">
        <v>0.35199999999999998</v>
      </c>
      <c r="AJ31" s="104">
        <v>0.19889000000000001</v>
      </c>
      <c r="AK31" s="96"/>
      <c r="AL31" s="1"/>
      <c r="AM31" s="2"/>
      <c r="AN31" s="21"/>
      <c r="AO31" s="21"/>
      <c r="AP31" s="21"/>
      <c r="AQ31" s="21"/>
    </row>
    <row r="32" spans="1:43" ht="15.75" customHeight="1">
      <c r="A32" s="14"/>
      <c r="B32" s="15" t="s">
        <v>26</v>
      </c>
      <c r="C32" s="31">
        <v>3</v>
      </c>
      <c r="D32" s="26">
        <v>2019</v>
      </c>
      <c r="E32" s="26"/>
      <c r="F32" s="25">
        <v>1.6899999999999998E-2</v>
      </c>
      <c r="G32" s="32">
        <v>0.15659999999999999</v>
      </c>
      <c r="H32" s="25">
        <v>0.75539999999999996</v>
      </c>
      <c r="I32" s="25">
        <v>0.82889999999999997</v>
      </c>
      <c r="J32" s="32">
        <v>6.3600000000000004E-2</v>
      </c>
      <c r="K32" s="25">
        <v>0.1615</v>
      </c>
      <c r="L32" s="25">
        <v>0.01</v>
      </c>
      <c r="M32" s="23">
        <v>1</v>
      </c>
      <c r="N32" s="23">
        <v>1</v>
      </c>
      <c r="O32" s="23">
        <v>1</v>
      </c>
      <c r="P32" s="23">
        <v>1</v>
      </c>
      <c r="Q32" s="23">
        <v>1</v>
      </c>
      <c r="R32" s="23">
        <v>1</v>
      </c>
      <c r="S32" s="23">
        <v>1</v>
      </c>
      <c r="T32" s="23">
        <v>1</v>
      </c>
      <c r="U32" s="23">
        <v>1</v>
      </c>
      <c r="V32" s="23">
        <v>1</v>
      </c>
      <c r="W32" s="23">
        <v>1</v>
      </c>
      <c r="X32" s="116" t="s">
        <v>179</v>
      </c>
      <c r="Y32" s="28">
        <v>7.4963131568557856E-2</v>
      </c>
      <c r="Z32" s="43">
        <v>43974000000</v>
      </c>
      <c r="AA32" s="34">
        <v>1</v>
      </c>
      <c r="AB32" s="34">
        <v>1</v>
      </c>
      <c r="AC32" s="24">
        <v>12</v>
      </c>
      <c r="AD32" s="24">
        <v>3</v>
      </c>
      <c r="AE32" s="24">
        <v>5</v>
      </c>
      <c r="AF32" s="24">
        <v>4</v>
      </c>
      <c r="AG32" s="24">
        <v>1</v>
      </c>
      <c r="AH32" s="57">
        <v>0.99990000000000001</v>
      </c>
      <c r="AI32" s="57">
        <v>0.36599999999999999</v>
      </c>
      <c r="AJ32" s="107">
        <v>0.33517599999999997</v>
      </c>
      <c r="AK32" s="96"/>
      <c r="AL32" s="1"/>
      <c r="AM32" s="2"/>
      <c r="AN32" s="21"/>
      <c r="AO32" s="21"/>
      <c r="AP32" s="21"/>
      <c r="AQ32" s="21"/>
    </row>
    <row r="33" spans="1:43" ht="15.75" hidden="1" customHeight="1">
      <c r="A33" s="14"/>
      <c r="B33" s="15" t="s">
        <v>26</v>
      </c>
      <c r="C33" s="31">
        <v>3</v>
      </c>
      <c r="D33" s="26">
        <v>2020</v>
      </c>
      <c r="E33" s="26"/>
      <c r="F33" s="25">
        <v>1.6500000000000001E-2</v>
      </c>
      <c r="G33" s="25"/>
      <c r="H33" s="25">
        <v>0.73980000000000001</v>
      </c>
      <c r="I33" s="25">
        <v>0.81810000000000005</v>
      </c>
      <c r="J33" s="25"/>
      <c r="K33" s="25">
        <v>0.16880000000000001</v>
      </c>
      <c r="L33" s="25">
        <v>7.1999999999999998E-3</v>
      </c>
      <c r="M33" s="24">
        <v>1</v>
      </c>
      <c r="N33" s="20"/>
      <c r="O33" s="20"/>
      <c r="P33" s="20"/>
      <c r="Q33" s="20"/>
      <c r="R33" s="20"/>
      <c r="S33" s="20"/>
      <c r="T33" s="20"/>
      <c r="U33" s="20"/>
      <c r="V33" s="20"/>
      <c r="W33" s="20"/>
      <c r="X33" s="36">
        <v>0.875</v>
      </c>
      <c r="Y33" s="28">
        <v>6.8045230266916321E-2</v>
      </c>
      <c r="Z33" s="29"/>
      <c r="AA33" s="34"/>
      <c r="AB33" s="34"/>
      <c r="AC33" s="24"/>
      <c r="AD33" s="24"/>
      <c r="AE33" s="24"/>
      <c r="AF33" s="24"/>
      <c r="AG33" s="24"/>
      <c r="AH33" s="59"/>
      <c r="AI33" s="59"/>
      <c r="AJ33" s="108"/>
      <c r="AK33" s="96"/>
      <c r="AL33" s="1"/>
      <c r="AM33" s="2"/>
      <c r="AN33" s="21"/>
      <c r="AO33" s="21"/>
      <c r="AP33" s="21"/>
      <c r="AQ33" s="21"/>
    </row>
    <row r="34" spans="1:43" ht="15.75" customHeight="1">
      <c r="A34" s="14">
        <v>4</v>
      </c>
      <c r="B34" s="15" t="s">
        <v>32</v>
      </c>
      <c r="C34" s="31">
        <v>4</v>
      </c>
      <c r="D34" s="17">
        <v>1998</v>
      </c>
      <c r="E34" s="78">
        <v>33543</v>
      </c>
      <c r="F34" s="19" t="s">
        <v>33</v>
      </c>
      <c r="G34" s="19" t="s">
        <v>34</v>
      </c>
      <c r="H34" s="19" t="s">
        <v>35</v>
      </c>
      <c r="I34" s="37"/>
      <c r="J34" s="37"/>
      <c r="K34" s="19" t="s">
        <v>36</v>
      </c>
      <c r="L34" s="19" t="s">
        <v>37</v>
      </c>
      <c r="M34" s="76"/>
      <c r="N34" s="87"/>
      <c r="O34" s="87"/>
      <c r="P34" s="87"/>
      <c r="Q34" s="87"/>
      <c r="R34" s="87"/>
      <c r="S34" s="87"/>
      <c r="T34" s="87"/>
      <c r="U34" s="87"/>
      <c r="V34" s="87"/>
      <c r="W34" s="87"/>
      <c r="X34" s="69"/>
      <c r="Y34" s="88"/>
      <c r="Z34" s="86"/>
      <c r="AA34" s="76"/>
      <c r="AB34" s="76"/>
      <c r="AC34" s="76"/>
      <c r="AD34" s="76"/>
      <c r="AE34" s="76"/>
      <c r="AF34" s="76"/>
      <c r="AG34" s="76"/>
      <c r="AH34" s="56"/>
      <c r="AI34" s="56"/>
      <c r="AJ34" s="109"/>
      <c r="AK34" s="96"/>
      <c r="AL34" s="1"/>
      <c r="AM34" s="2"/>
      <c r="AN34" s="21"/>
      <c r="AO34" s="21"/>
      <c r="AP34" s="21"/>
      <c r="AQ34" s="21"/>
    </row>
    <row r="35" spans="1:43" ht="15.75" customHeight="1">
      <c r="A35" s="14"/>
      <c r="B35" s="15" t="s">
        <v>32</v>
      </c>
      <c r="C35" s="31">
        <v>4</v>
      </c>
      <c r="D35" s="17">
        <v>1999</v>
      </c>
      <c r="E35" s="17"/>
      <c r="F35" s="19" t="s">
        <v>38</v>
      </c>
      <c r="G35" s="38">
        <v>9.2999999999999992E-3</v>
      </c>
      <c r="H35" s="19" t="s">
        <v>39</v>
      </c>
      <c r="I35" s="37"/>
      <c r="J35" s="37"/>
      <c r="K35" s="19" t="s">
        <v>40</v>
      </c>
      <c r="L35" s="19" t="s">
        <v>41</v>
      </c>
      <c r="M35" s="76"/>
      <c r="N35" s="87"/>
      <c r="O35" s="87"/>
      <c r="P35" s="87"/>
      <c r="Q35" s="87"/>
      <c r="R35" s="87"/>
      <c r="S35" s="87"/>
      <c r="T35" s="87"/>
      <c r="U35" s="87"/>
      <c r="V35" s="87"/>
      <c r="W35" s="87"/>
      <c r="X35" s="69"/>
      <c r="Y35" s="88"/>
      <c r="Z35" s="86"/>
      <c r="AA35" s="76"/>
      <c r="AB35" s="76"/>
      <c r="AC35" s="76"/>
      <c r="AD35" s="76"/>
      <c r="AE35" s="76"/>
      <c r="AF35" s="76"/>
      <c r="AG35" s="76"/>
      <c r="AH35" s="56"/>
      <c r="AI35" s="56"/>
      <c r="AJ35" s="109"/>
      <c r="AK35" s="96"/>
      <c r="AL35" s="1"/>
      <c r="AM35" s="2"/>
      <c r="AN35" s="21"/>
      <c r="AO35" s="21"/>
      <c r="AP35" s="21"/>
      <c r="AQ35" s="21"/>
    </row>
    <row r="36" spans="1:43" ht="15.75" customHeight="1">
      <c r="A36" s="14"/>
      <c r="B36" s="15" t="s">
        <v>32</v>
      </c>
      <c r="C36" s="31">
        <v>4</v>
      </c>
      <c r="D36" s="17">
        <v>2000</v>
      </c>
      <c r="E36" s="17"/>
      <c r="F36" s="19" t="s">
        <v>42</v>
      </c>
      <c r="G36" s="38">
        <v>1.1299999999999999E-2</v>
      </c>
      <c r="H36" s="19" t="s">
        <v>43</v>
      </c>
      <c r="I36" s="37"/>
      <c r="J36" s="37"/>
      <c r="K36" s="19" t="s">
        <v>44</v>
      </c>
      <c r="L36" s="19" t="s">
        <v>45</v>
      </c>
      <c r="M36" s="76"/>
      <c r="N36" s="87"/>
      <c r="O36" s="87"/>
      <c r="P36" s="87"/>
      <c r="Q36" s="87"/>
      <c r="R36" s="87"/>
      <c r="S36" s="87"/>
      <c r="T36" s="87"/>
      <c r="U36" s="87"/>
      <c r="V36" s="87"/>
      <c r="W36" s="87"/>
      <c r="X36" s="69"/>
      <c r="Y36" s="88"/>
      <c r="Z36" s="86"/>
      <c r="AA36" s="76"/>
      <c r="AB36" s="76"/>
      <c r="AC36" s="76"/>
      <c r="AD36" s="76"/>
      <c r="AE36" s="76"/>
      <c r="AF36" s="76"/>
      <c r="AG36" s="76"/>
      <c r="AH36" s="56"/>
      <c r="AI36" s="56"/>
      <c r="AJ36" s="109"/>
      <c r="AK36" s="96"/>
      <c r="AL36" s="1"/>
      <c r="AM36" s="2"/>
      <c r="AN36" s="21"/>
      <c r="AO36" s="21"/>
      <c r="AP36" s="21"/>
      <c r="AQ36" s="21"/>
    </row>
    <row r="37" spans="1:43" ht="15.75" customHeight="1">
      <c r="A37" s="14"/>
      <c r="B37" s="15" t="s">
        <v>32</v>
      </c>
      <c r="C37" s="31">
        <v>4</v>
      </c>
      <c r="D37" s="17">
        <v>2001</v>
      </c>
      <c r="E37" s="17"/>
      <c r="F37" s="19" t="s">
        <v>46</v>
      </c>
      <c r="G37" s="38">
        <v>4.4600000000000001E-2</v>
      </c>
      <c r="H37" s="19" t="s">
        <v>47</v>
      </c>
      <c r="I37" s="37"/>
      <c r="J37" s="37"/>
      <c r="K37" s="19" t="s">
        <v>48</v>
      </c>
      <c r="L37" s="19" t="s">
        <v>49</v>
      </c>
      <c r="M37" s="76"/>
      <c r="N37" s="87"/>
      <c r="O37" s="87"/>
      <c r="P37" s="87"/>
      <c r="Q37" s="87"/>
      <c r="R37" s="87"/>
      <c r="S37" s="87"/>
      <c r="T37" s="87"/>
      <c r="U37" s="87"/>
      <c r="V37" s="87"/>
      <c r="W37" s="87"/>
      <c r="X37" s="69"/>
      <c r="Y37" s="88"/>
      <c r="Z37" s="86"/>
      <c r="AA37" s="76"/>
      <c r="AB37" s="76"/>
      <c r="AC37" s="76"/>
      <c r="AD37" s="76"/>
      <c r="AE37" s="76"/>
      <c r="AF37" s="76"/>
      <c r="AG37" s="76"/>
      <c r="AH37" s="56"/>
      <c r="AI37" s="56"/>
      <c r="AJ37" s="109"/>
      <c r="AK37" s="96"/>
      <c r="AL37" s="1"/>
      <c r="AM37" s="2"/>
      <c r="AN37" s="21"/>
      <c r="AO37" s="21"/>
      <c r="AP37" s="21"/>
      <c r="AQ37" s="21"/>
    </row>
    <row r="38" spans="1:43" ht="15.75" customHeight="1">
      <c r="A38" s="14"/>
      <c r="B38" s="15" t="s">
        <v>32</v>
      </c>
      <c r="C38" s="31">
        <v>4</v>
      </c>
      <c r="D38" s="17">
        <v>2002</v>
      </c>
      <c r="E38" s="17"/>
      <c r="F38" s="19" t="s">
        <v>50</v>
      </c>
      <c r="G38" s="38">
        <v>1.5699999999999999E-2</v>
      </c>
      <c r="H38" s="19" t="s">
        <v>51</v>
      </c>
      <c r="I38" s="37"/>
      <c r="J38" s="37"/>
      <c r="K38" s="19" t="s">
        <v>52</v>
      </c>
      <c r="L38" s="19" t="s">
        <v>53</v>
      </c>
      <c r="M38" s="76"/>
      <c r="N38" s="87"/>
      <c r="O38" s="87"/>
      <c r="P38" s="87"/>
      <c r="Q38" s="87"/>
      <c r="R38" s="87"/>
      <c r="S38" s="87"/>
      <c r="T38" s="87"/>
      <c r="U38" s="87"/>
      <c r="V38" s="87"/>
      <c r="W38" s="87"/>
      <c r="X38" s="69"/>
      <c r="Y38" s="88"/>
      <c r="Z38" s="86"/>
      <c r="AA38" s="76"/>
      <c r="AB38" s="76"/>
      <c r="AC38" s="76"/>
      <c r="AD38" s="76"/>
      <c r="AE38" s="76"/>
      <c r="AF38" s="76"/>
      <c r="AG38" s="76"/>
      <c r="AH38" s="56"/>
      <c r="AI38" s="56"/>
      <c r="AJ38" s="109"/>
      <c r="AK38" s="96"/>
      <c r="AL38" s="1"/>
      <c r="AM38" s="2"/>
      <c r="AN38" s="21"/>
      <c r="AO38" s="21"/>
      <c r="AP38" s="21"/>
      <c r="AQ38" s="21"/>
    </row>
    <row r="39" spans="1:43" ht="15.75" customHeight="1">
      <c r="A39" s="14"/>
      <c r="B39" s="15" t="s">
        <v>32</v>
      </c>
      <c r="C39" s="31">
        <v>4</v>
      </c>
      <c r="D39" s="17">
        <v>2003</v>
      </c>
      <c r="E39" s="17"/>
      <c r="F39" s="19" t="s">
        <v>54</v>
      </c>
      <c r="G39" s="38">
        <v>9.4999999999999998E-3</v>
      </c>
      <c r="H39" s="19" t="s">
        <v>55</v>
      </c>
      <c r="I39" s="18">
        <v>0.80879999999999996</v>
      </c>
      <c r="J39" s="37"/>
      <c r="K39" s="19" t="s">
        <v>56</v>
      </c>
      <c r="L39" s="19" t="s">
        <v>57</v>
      </c>
      <c r="M39" s="76"/>
      <c r="N39" s="87"/>
      <c r="O39" s="87"/>
      <c r="P39" s="87"/>
      <c r="Q39" s="87"/>
      <c r="R39" s="87"/>
      <c r="S39" s="87"/>
      <c r="T39" s="87"/>
      <c r="U39" s="87"/>
      <c r="V39" s="87"/>
      <c r="W39" s="87"/>
      <c r="X39" s="69"/>
      <c r="Y39" s="88"/>
      <c r="Z39" s="86"/>
      <c r="AA39" s="76"/>
      <c r="AB39" s="76"/>
      <c r="AC39" s="76"/>
      <c r="AD39" s="76"/>
      <c r="AE39" s="76"/>
      <c r="AF39" s="76"/>
      <c r="AG39" s="76"/>
      <c r="AH39" s="56"/>
      <c r="AI39" s="56"/>
      <c r="AJ39" s="109"/>
      <c r="AK39" s="96"/>
      <c r="AL39" s="1"/>
      <c r="AM39" s="2"/>
      <c r="AN39" s="21"/>
      <c r="AO39" s="21"/>
      <c r="AP39" s="21"/>
      <c r="AQ39" s="21"/>
    </row>
    <row r="40" spans="1:43" ht="15.75" customHeight="1">
      <c r="A40" s="14"/>
      <c r="B40" s="15" t="s">
        <v>32</v>
      </c>
      <c r="C40" s="31">
        <v>4</v>
      </c>
      <c r="D40" s="17">
        <v>2004</v>
      </c>
      <c r="E40" s="17"/>
      <c r="F40" s="19" t="s">
        <v>58</v>
      </c>
      <c r="G40" s="38">
        <v>1.9400000000000001E-2</v>
      </c>
      <c r="H40" s="19" t="s">
        <v>59</v>
      </c>
      <c r="I40" s="18">
        <v>0.75560000000000005</v>
      </c>
      <c r="J40" s="37"/>
      <c r="K40" s="19" t="s">
        <v>60</v>
      </c>
      <c r="L40" s="19" t="s">
        <v>61</v>
      </c>
      <c r="M40" s="76"/>
      <c r="N40" s="87"/>
      <c r="O40" s="87"/>
      <c r="P40" s="87"/>
      <c r="Q40" s="87"/>
      <c r="R40" s="87"/>
      <c r="S40" s="87"/>
      <c r="T40" s="87"/>
      <c r="U40" s="87"/>
      <c r="V40" s="87"/>
      <c r="W40" s="87"/>
      <c r="X40" s="69"/>
      <c r="Y40" s="88"/>
      <c r="Z40" s="86"/>
      <c r="AA40" s="76"/>
      <c r="AB40" s="76"/>
      <c r="AC40" s="76"/>
      <c r="AD40" s="76"/>
      <c r="AE40" s="76"/>
      <c r="AF40" s="76"/>
      <c r="AG40" s="76"/>
      <c r="AH40" s="56"/>
      <c r="AI40" s="56"/>
      <c r="AJ40" s="109"/>
      <c r="AK40" s="96"/>
      <c r="AL40" s="1"/>
      <c r="AM40" s="2"/>
      <c r="AN40" s="21"/>
      <c r="AO40" s="21"/>
      <c r="AP40" s="21"/>
      <c r="AQ40" s="21"/>
    </row>
    <row r="41" spans="1:43" ht="15.75" customHeight="1">
      <c r="A41" s="14"/>
      <c r="B41" s="15" t="s">
        <v>32</v>
      </c>
      <c r="C41" s="31">
        <v>4</v>
      </c>
      <c r="D41" s="17">
        <v>2005</v>
      </c>
      <c r="E41" s="17"/>
      <c r="F41" s="19" t="s">
        <v>62</v>
      </c>
      <c r="G41" s="38">
        <v>2.29E-2</v>
      </c>
      <c r="H41" s="19" t="s">
        <v>63</v>
      </c>
      <c r="I41" s="18">
        <v>0.74609999999999999</v>
      </c>
      <c r="J41" s="119"/>
      <c r="K41" s="19" t="s">
        <v>64</v>
      </c>
      <c r="L41" s="19" t="s">
        <v>65</v>
      </c>
      <c r="M41" s="76"/>
      <c r="N41" s="87"/>
      <c r="O41" s="87"/>
      <c r="P41" s="87"/>
      <c r="Q41" s="87"/>
      <c r="R41" s="87"/>
      <c r="S41" s="87"/>
      <c r="T41" s="87"/>
      <c r="U41" s="87"/>
      <c r="V41" s="87"/>
      <c r="W41" s="87"/>
      <c r="X41" s="69"/>
      <c r="Y41" s="88"/>
      <c r="Z41" s="86"/>
      <c r="AA41" s="76"/>
      <c r="AB41" s="76"/>
      <c r="AC41" s="76"/>
      <c r="AD41" s="76"/>
      <c r="AE41" s="76"/>
      <c r="AF41" s="76"/>
      <c r="AG41" s="76"/>
      <c r="AH41" s="56"/>
      <c r="AI41" s="56"/>
      <c r="AJ41" s="109"/>
      <c r="AK41" s="96"/>
      <c r="AL41" s="1"/>
      <c r="AM41" s="2"/>
      <c r="AN41" s="21"/>
      <c r="AO41" s="21"/>
      <c r="AP41" s="21"/>
      <c r="AQ41" s="21"/>
    </row>
    <row r="42" spans="1:43" ht="15.75" customHeight="1">
      <c r="A42" s="14"/>
      <c r="B42" s="15" t="s">
        <v>32</v>
      </c>
      <c r="C42" s="31">
        <v>4</v>
      </c>
      <c r="D42" s="17">
        <v>2006</v>
      </c>
      <c r="E42" s="17"/>
      <c r="F42" s="19" t="s">
        <v>66</v>
      </c>
      <c r="G42" s="38">
        <v>2.2700000000000001E-2</v>
      </c>
      <c r="H42" s="19" t="s">
        <v>67</v>
      </c>
      <c r="I42" s="38">
        <v>0.84960000000000002</v>
      </c>
      <c r="J42" s="38">
        <v>6.0999999999999999E-2</v>
      </c>
      <c r="K42" s="19" t="s">
        <v>68</v>
      </c>
      <c r="L42" s="19" t="s">
        <v>69</v>
      </c>
      <c r="M42" s="76"/>
      <c r="N42" s="87"/>
      <c r="O42" s="87"/>
      <c r="P42" s="87"/>
      <c r="Q42" s="87"/>
      <c r="R42" s="87"/>
      <c r="S42" s="87"/>
      <c r="T42" s="87"/>
      <c r="U42" s="87"/>
      <c r="V42" s="87"/>
      <c r="W42" s="87"/>
      <c r="X42" s="69"/>
      <c r="Y42" s="88"/>
      <c r="Z42" s="86"/>
      <c r="AA42" s="76"/>
      <c r="AB42" s="76"/>
      <c r="AC42" s="76"/>
      <c r="AD42" s="76"/>
      <c r="AE42" s="76"/>
      <c r="AF42" s="76"/>
      <c r="AG42" s="76"/>
      <c r="AH42" s="56"/>
      <c r="AI42" s="56"/>
      <c r="AJ42" s="109"/>
      <c r="AK42" s="96"/>
      <c r="AL42" s="1"/>
      <c r="AM42" s="2"/>
      <c r="AN42" s="21"/>
      <c r="AO42" s="21"/>
      <c r="AP42" s="21"/>
      <c r="AQ42" s="21"/>
    </row>
    <row r="43" spans="1:43" ht="15.75" customHeight="1">
      <c r="A43" s="14"/>
      <c r="B43" s="15" t="s">
        <v>32</v>
      </c>
      <c r="C43" s="31">
        <v>4</v>
      </c>
      <c r="D43" s="17">
        <v>2007</v>
      </c>
      <c r="E43" s="17"/>
      <c r="F43" s="19" t="s">
        <v>70</v>
      </c>
      <c r="G43" s="38">
        <v>2.4400000000000002E-2</v>
      </c>
      <c r="H43" s="19" t="s">
        <v>71</v>
      </c>
      <c r="I43" s="38">
        <v>0.83379999999999999</v>
      </c>
      <c r="J43" s="38">
        <v>7.6100000000000001E-2</v>
      </c>
      <c r="K43" s="19" t="s">
        <v>72</v>
      </c>
      <c r="L43" s="19" t="s">
        <v>54</v>
      </c>
      <c r="M43" s="24">
        <v>1</v>
      </c>
      <c r="N43" s="24">
        <v>1</v>
      </c>
      <c r="O43" s="24">
        <v>1</v>
      </c>
      <c r="P43" s="24">
        <v>2</v>
      </c>
      <c r="Q43" s="24">
        <v>2</v>
      </c>
      <c r="R43" s="24">
        <v>2</v>
      </c>
      <c r="S43" s="24">
        <v>2</v>
      </c>
      <c r="T43" s="24">
        <v>2</v>
      </c>
      <c r="U43" s="24">
        <v>2</v>
      </c>
      <c r="V43" s="24">
        <v>2</v>
      </c>
      <c r="W43" s="24">
        <v>2</v>
      </c>
      <c r="X43" s="69"/>
      <c r="Y43" s="28"/>
      <c r="Z43" s="67">
        <v>6745752000</v>
      </c>
      <c r="AA43" s="22">
        <v>1</v>
      </c>
      <c r="AB43" s="22">
        <v>1</v>
      </c>
      <c r="AC43" s="23">
        <v>5</v>
      </c>
      <c r="AD43" s="23">
        <v>5</v>
      </c>
      <c r="AE43" s="23">
        <v>5</v>
      </c>
      <c r="AF43" s="23">
        <v>5</v>
      </c>
      <c r="AG43" s="23">
        <v>1</v>
      </c>
      <c r="AH43" s="58">
        <v>0.99970000000000003</v>
      </c>
      <c r="AI43" s="114" t="s">
        <v>174</v>
      </c>
      <c r="AJ43" s="104" t="s">
        <v>137</v>
      </c>
      <c r="AK43" s="96"/>
      <c r="AL43" s="1"/>
      <c r="AM43" s="2"/>
      <c r="AN43" s="21"/>
      <c r="AO43" s="21"/>
      <c r="AP43" s="21"/>
      <c r="AQ43" s="21"/>
    </row>
    <row r="44" spans="1:43" ht="15.75" customHeight="1">
      <c r="A44" s="14"/>
      <c r="B44" s="15" t="s">
        <v>32</v>
      </c>
      <c r="C44" s="31">
        <v>4</v>
      </c>
      <c r="D44" s="17">
        <v>2008</v>
      </c>
      <c r="E44" s="17"/>
      <c r="F44" s="19" t="s">
        <v>73</v>
      </c>
      <c r="G44" s="38">
        <v>2.7900000000000001E-2</v>
      </c>
      <c r="H44" s="19" t="s">
        <v>74</v>
      </c>
      <c r="I44" s="38">
        <v>0.78939999999999999</v>
      </c>
      <c r="J44" s="38">
        <v>7.4200000000000002E-2</v>
      </c>
      <c r="K44" s="19" t="s">
        <v>75</v>
      </c>
      <c r="L44" s="19" t="s">
        <v>76</v>
      </c>
      <c r="M44" s="24">
        <v>1</v>
      </c>
      <c r="N44" s="24">
        <v>1</v>
      </c>
      <c r="O44" s="24">
        <v>1</v>
      </c>
      <c r="P44" s="24">
        <v>2</v>
      </c>
      <c r="Q44" s="24">
        <v>2</v>
      </c>
      <c r="R44" s="24">
        <v>2</v>
      </c>
      <c r="S44" s="24">
        <v>2</v>
      </c>
      <c r="T44" s="24">
        <v>2</v>
      </c>
      <c r="U44" s="24">
        <v>2</v>
      </c>
      <c r="V44" s="24">
        <v>2</v>
      </c>
      <c r="W44" s="24">
        <v>2</v>
      </c>
      <c r="X44" s="69"/>
      <c r="Y44" s="28"/>
      <c r="Z44" s="29">
        <v>7379140000</v>
      </c>
      <c r="AA44" s="22">
        <v>1</v>
      </c>
      <c r="AB44" s="22">
        <v>1</v>
      </c>
      <c r="AC44" s="23">
        <v>5</v>
      </c>
      <c r="AD44" s="23">
        <v>5</v>
      </c>
      <c r="AE44" s="23">
        <v>5</v>
      </c>
      <c r="AF44" s="23">
        <v>5</v>
      </c>
      <c r="AG44" s="23">
        <v>1</v>
      </c>
      <c r="AH44" s="58">
        <v>0.89980000000000004</v>
      </c>
      <c r="AI44" s="60">
        <v>0.47739999999999999</v>
      </c>
      <c r="AJ44" s="104" t="s">
        <v>138</v>
      </c>
      <c r="AK44" s="96"/>
      <c r="AL44" s="1"/>
      <c r="AM44" s="2"/>
      <c r="AN44" s="21"/>
      <c r="AO44" s="21"/>
      <c r="AP44" s="21"/>
      <c r="AQ44" s="21"/>
    </row>
    <row r="45" spans="1:43" ht="15.75" customHeight="1">
      <c r="A45" s="14"/>
      <c r="B45" s="15" t="s">
        <v>32</v>
      </c>
      <c r="C45" s="31">
        <v>4</v>
      </c>
      <c r="D45" s="26">
        <v>2009</v>
      </c>
      <c r="E45" s="26"/>
      <c r="F45" s="18">
        <f>5019000/1602718000</f>
        <v>3.131555270484265E-3</v>
      </c>
      <c r="G45" s="18">
        <v>8.0299999999999996E-2</v>
      </c>
      <c r="H45" s="18">
        <v>0.85819999999999996</v>
      </c>
      <c r="I45" s="38">
        <v>0.95499999999999996</v>
      </c>
      <c r="J45" s="38">
        <v>5.1499999999999997E-2</v>
      </c>
      <c r="K45" s="18">
        <v>0.111</v>
      </c>
      <c r="L45" s="18">
        <v>4.1000000000000002E-2</v>
      </c>
      <c r="M45" s="24">
        <v>1</v>
      </c>
      <c r="N45" s="20">
        <v>1</v>
      </c>
      <c r="O45" s="20">
        <v>2</v>
      </c>
      <c r="P45" s="20">
        <v>2</v>
      </c>
      <c r="Q45" s="20">
        <v>2</v>
      </c>
      <c r="R45" s="20">
        <v>2</v>
      </c>
      <c r="S45" s="20">
        <v>2</v>
      </c>
      <c r="T45" s="20">
        <v>2</v>
      </c>
      <c r="U45" s="20">
        <v>2</v>
      </c>
      <c r="V45" s="20">
        <v>2</v>
      </c>
      <c r="W45" s="20">
        <v>2</v>
      </c>
      <c r="X45" s="70">
        <v>0.26450000000000001</v>
      </c>
      <c r="Y45" s="28"/>
      <c r="Z45" s="29">
        <v>5341241000</v>
      </c>
      <c r="AA45" s="22">
        <v>1</v>
      </c>
      <c r="AB45" s="22">
        <v>1</v>
      </c>
      <c r="AC45" s="23">
        <v>5</v>
      </c>
      <c r="AD45" s="23">
        <v>5</v>
      </c>
      <c r="AE45" s="23">
        <v>5</v>
      </c>
      <c r="AF45" s="23">
        <v>5</v>
      </c>
      <c r="AG45" s="23">
        <v>1</v>
      </c>
      <c r="AH45" s="58">
        <v>0.86780000000000002</v>
      </c>
      <c r="AI45" s="60">
        <v>0.52510000000000001</v>
      </c>
      <c r="AJ45" s="104" t="s">
        <v>139</v>
      </c>
      <c r="AK45" s="96"/>
      <c r="AL45" s="1"/>
      <c r="AM45" s="2"/>
      <c r="AN45" s="21"/>
      <c r="AO45" s="21"/>
      <c r="AP45" s="21"/>
      <c r="AQ45" s="21"/>
    </row>
    <row r="46" spans="1:43" ht="15.75" customHeight="1">
      <c r="A46" s="14"/>
      <c r="B46" s="15" t="s">
        <v>32</v>
      </c>
      <c r="C46" s="31">
        <v>4</v>
      </c>
      <c r="D46" s="26">
        <v>2010</v>
      </c>
      <c r="E46" s="26"/>
      <c r="F46" s="25">
        <v>1.3599999999999999E-2</v>
      </c>
      <c r="G46" s="18">
        <v>0.17780000000000001</v>
      </c>
      <c r="H46" s="18">
        <v>0.91520000000000001</v>
      </c>
      <c r="I46" s="18">
        <v>0.87380000000000002</v>
      </c>
      <c r="J46" s="18">
        <v>5.2400000000000002E-2</v>
      </c>
      <c r="K46" s="18">
        <v>0.1326</v>
      </c>
      <c r="L46" s="18">
        <v>3.5099999999999999E-2</v>
      </c>
      <c r="M46" s="24">
        <v>1.4</v>
      </c>
      <c r="N46" s="24">
        <v>1.4</v>
      </c>
      <c r="O46" s="24">
        <v>2</v>
      </c>
      <c r="P46" s="24">
        <v>1.4</v>
      </c>
      <c r="Q46" s="24">
        <v>1.4</v>
      </c>
      <c r="R46" s="24">
        <v>2</v>
      </c>
      <c r="S46" s="24">
        <v>1.4</v>
      </c>
      <c r="T46" s="24">
        <v>2</v>
      </c>
      <c r="U46" s="24">
        <v>1.4</v>
      </c>
      <c r="V46" s="24">
        <v>1.4</v>
      </c>
      <c r="W46" s="24">
        <v>2</v>
      </c>
      <c r="X46" s="70">
        <v>0.25619999999999998</v>
      </c>
      <c r="Y46" s="28"/>
      <c r="Z46" s="29">
        <v>4406260000</v>
      </c>
      <c r="AA46" s="22">
        <v>1</v>
      </c>
      <c r="AB46" s="22">
        <v>1</v>
      </c>
      <c r="AC46" s="23">
        <v>12</v>
      </c>
      <c r="AD46" s="23">
        <v>12</v>
      </c>
      <c r="AE46" s="23">
        <v>12</v>
      </c>
      <c r="AF46" s="23"/>
      <c r="AG46" s="23">
        <v>1</v>
      </c>
      <c r="AH46" s="58">
        <v>0.99990000000000001</v>
      </c>
      <c r="AI46" s="60">
        <v>0.47189999999999999</v>
      </c>
      <c r="AJ46" s="104">
        <v>1.0543</v>
      </c>
      <c r="AK46" s="96"/>
      <c r="AL46" s="1"/>
      <c r="AM46" s="2"/>
      <c r="AN46" s="21"/>
      <c r="AO46" s="21"/>
      <c r="AP46" s="21"/>
      <c r="AQ46" s="21"/>
    </row>
    <row r="47" spans="1:43" ht="15.75" customHeight="1">
      <c r="A47" s="14"/>
      <c r="B47" s="15" t="s">
        <v>32</v>
      </c>
      <c r="C47" s="31">
        <v>4</v>
      </c>
      <c r="D47" s="26">
        <v>2011</v>
      </c>
      <c r="E47" s="26"/>
      <c r="F47" s="25">
        <v>1.52E-2</v>
      </c>
      <c r="G47" s="18">
        <v>0.14710000000000001</v>
      </c>
      <c r="H47" s="18">
        <v>0.8518</v>
      </c>
      <c r="I47" s="18">
        <v>0.85250000000000004</v>
      </c>
      <c r="J47" s="39">
        <v>5.0099999999999999E-2</v>
      </c>
      <c r="K47" s="18">
        <v>0.1201</v>
      </c>
      <c r="L47" s="18">
        <v>1.78E-2</v>
      </c>
      <c r="M47" s="24">
        <v>1.3</v>
      </c>
      <c r="N47" s="24">
        <v>1.3</v>
      </c>
      <c r="O47" s="24">
        <v>2</v>
      </c>
      <c r="P47" s="24">
        <v>1.3</v>
      </c>
      <c r="Q47" s="24">
        <v>1.3</v>
      </c>
      <c r="R47" s="24">
        <v>2</v>
      </c>
      <c r="S47" s="24">
        <v>1.3</v>
      </c>
      <c r="T47" s="24">
        <v>2</v>
      </c>
      <c r="U47" s="24">
        <v>1.3</v>
      </c>
      <c r="V47" s="24">
        <v>1.3</v>
      </c>
      <c r="W47" s="24">
        <v>2</v>
      </c>
      <c r="X47" s="70">
        <v>0.25619999999999998</v>
      </c>
      <c r="Y47" s="28"/>
      <c r="Z47" s="29">
        <v>11566365477</v>
      </c>
      <c r="AA47" s="22">
        <v>1</v>
      </c>
      <c r="AB47" s="22">
        <v>1</v>
      </c>
      <c r="AC47" s="23">
        <v>11</v>
      </c>
      <c r="AD47" s="23">
        <v>12</v>
      </c>
      <c r="AE47" s="23">
        <v>11</v>
      </c>
      <c r="AF47" s="23"/>
      <c r="AG47" s="23">
        <v>1</v>
      </c>
      <c r="AH47" s="58">
        <v>0.99980000000000002</v>
      </c>
      <c r="AI47" s="60">
        <v>0.10680000000000001</v>
      </c>
      <c r="AJ47" s="104">
        <v>1.1843999999999999</v>
      </c>
      <c r="AK47" s="96"/>
      <c r="AL47" s="1"/>
      <c r="AM47" s="2"/>
      <c r="AN47" s="21"/>
      <c r="AO47" s="21"/>
      <c r="AP47" s="21"/>
      <c r="AQ47" s="21"/>
    </row>
    <row r="48" spans="1:43" ht="15.75" customHeight="1">
      <c r="A48" s="14"/>
      <c r="B48" s="15" t="s">
        <v>32</v>
      </c>
      <c r="C48" s="31">
        <v>4</v>
      </c>
      <c r="D48" s="26">
        <v>2012</v>
      </c>
      <c r="E48" s="26"/>
      <c r="F48" s="25">
        <v>1.54E-2</v>
      </c>
      <c r="G48" s="18">
        <v>3.4200000000000001E-2</v>
      </c>
      <c r="H48" s="18">
        <v>0.9415</v>
      </c>
      <c r="I48" s="18">
        <v>0.9738</v>
      </c>
      <c r="J48" s="39">
        <v>4.6399999999999997E-2</v>
      </c>
      <c r="K48" s="18">
        <v>0.1157</v>
      </c>
      <c r="L48" s="18">
        <v>1.8100000000000002E-2</v>
      </c>
      <c r="M48" s="24">
        <v>1.1499999999999999</v>
      </c>
      <c r="N48" s="24">
        <v>1.1499999999999999</v>
      </c>
      <c r="O48" s="24">
        <v>2</v>
      </c>
      <c r="P48" s="24">
        <v>1.1499999999999999</v>
      </c>
      <c r="Q48" s="24">
        <v>1.1499999999999999</v>
      </c>
      <c r="R48" s="24">
        <v>2</v>
      </c>
      <c r="S48" s="24">
        <v>1.1499999999999999</v>
      </c>
      <c r="T48" s="24">
        <v>2</v>
      </c>
      <c r="U48" s="24">
        <v>1.1499999999999999</v>
      </c>
      <c r="V48" s="24">
        <v>1.1499999999999999</v>
      </c>
      <c r="W48" s="24">
        <v>1</v>
      </c>
      <c r="X48" s="36">
        <v>0.64600000000000002</v>
      </c>
      <c r="Y48" s="28"/>
      <c r="Z48" s="43">
        <v>6840540000</v>
      </c>
      <c r="AA48" s="22">
        <v>1</v>
      </c>
      <c r="AB48" s="22">
        <v>1</v>
      </c>
      <c r="AC48" s="23">
        <v>12</v>
      </c>
      <c r="AD48" s="23">
        <v>12</v>
      </c>
      <c r="AE48" s="23">
        <v>10</v>
      </c>
      <c r="AF48" s="23"/>
      <c r="AG48" s="23">
        <v>1</v>
      </c>
      <c r="AH48" s="58">
        <v>0.99970000000000003</v>
      </c>
      <c r="AI48" s="59">
        <v>0.45667901999999999</v>
      </c>
      <c r="AJ48" s="104" t="s">
        <v>140</v>
      </c>
      <c r="AK48" s="96"/>
      <c r="AL48" s="1"/>
      <c r="AM48" s="2"/>
      <c r="AN48" s="21"/>
      <c r="AO48" s="21"/>
      <c r="AP48" s="21"/>
      <c r="AQ48" s="21"/>
    </row>
    <row r="49" spans="1:43" ht="15.75" customHeight="1">
      <c r="A49" s="14"/>
      <c r="B49" s="15" t="s">
        <v>32</v>
      </c>
      <c r="C49" s="31">
        <v>4</v>
      </c>
      <c r="D49" s="26">
        <v>2013</v>
      </c>
      <c r="E49" s="26"/>
      <c r="F49" s="25">
        <v>1.37E-2</v>
      </c>
      <c r="G49" s="25">
        <v>3.8699999999999998E-2</v>
      </c>
      <c r="H49" s="25">
        <v>0.99990000000000001</v>
      </c>
      <c r="I49" s="25">
        <v>0.93779999999999997</v>
      </c>
      <c r="J49" s="39">
        <v>4.6600000000000003E-2</v>
      </c>
      <c r="K49" s="25">
        <v>0.17269999999999999</v>
      </c>
      <c r="L49" s="25">
        <v>7.7999999999999996E-3</v>
      </c>
      <c r="M49" s="24">
        <v>1</v>
      </c>
      <c r="N49" s="24">
        <v>1</v>
      </c>
      <c r="O49" s="24">
        <v>2</v>
      </c>
      <c r="P49" s="24">
        <v>1</v>
      </c>
      <c r="Q49" s="24">
        <v>1</v>
      </c>
      <c r="R49" s="24">
        <v>2</v>
      </c>
      <c r="S49" s="24">
        <v>1</v>
      </c>
      <c r="T49" s="24">
        <v>2</v>
      </c>
      <c r="U49" s="24">
        <v>1</v>
      </c>
      <c r="V49" s="24">
        <v>1</v>
      </c>
      <c r="W49" s="24">
        <v>1</v>
      </c>
      <c r="X49" s="36">
        <v>0.60526000000000002</v>
      </c>
      <c r="Y49" s="28">
        <v>8.0674441481707826E-2</v>
      </c>
      <c r="Z49" s="43">
        <v>13183796000</v>
      </c>
      <c r="AA49" s="22">
        <v>1</v>
      </c>
      <c r="AB49" s="22">
        <v>1</v>
      </c>
      <c r="AC49" s="23">
        <v>12</v>
      </c>
      <c r="AD49" s="23">
        <v>8</v>
      </c>
      <c r="AE49" s="23">
        <v>12</v>
      </c>
      <c r="AF49" s="23"/>
      <c r="AG49" s="23">
        <v>1</v>
      </c>
      <c r="AH49" s="58">
        <v>0.99409999999999998</v>
      </c>
      <c r="AI49" s="59">
        <v>0.53424090000000002</v>
      </c>
      <c r="AJ49" s="104" t="s">
        <v>141</v>
      </c>
      <c r="AK49" s="96"/>
      <c r="AL49" s="1"/>
      <c r="AM49" s="2"/>
      <c r="AN49" s="21"/>
      <c r="AO49" s="21"/>
      <c r="AP49" s="21"/>
      <c r="AQ49" s="21"/>
    </row>
    <row r="50" spans="1:43" ht="15.75" customHeight="1">
      <c r="A50" s="14"/>
      <c r="B50" s="15" t="s">
        <v>32</v>
      </c>
      <c r="C50" s="31">
        <v>4</v>
      </c>
      <c r="D50" s="26">
        <v>2014</v>
      </c>
      <c r="E50" s="26"/>
      <c r="F50" s="25">
        <v>1.6999999999999999E-3</v>
      </c>
      <c r="G50" s="32">
        <v>2.1999999999999999E-2</v>
      </c>
      <c r="H50" s="25">
        <v>0.84140000000000004</v>
      </c>
      <c r="I50" s="25">
        <v>0.9738</v>
      </c>
      <c r="J50" s="39">
        <v>3.4000000000000002E-2</v>
      </c>
      <c r="K50" s="25">
        <v>0.1191</v>
      </c>
      <c r="L50" s="25">
        <v>4.8500000000000001E-2</v>
      </c>
      <c r="M50" s="24">
        <v>3</v>
      </c>
      <c r="N50" s="23">
        <v>3</v>
      </c>
      <c r="O50" s="23">
        <v>3</v>
      </c>
      <c r="P50" s="23">
        <v>3</v>
      </c>
      <c r="Q50" s="23">
        <v>3</v>
      </c>
      <c r="R50" s="23">
        <v>3</v>
      </c>
      <c r="S50" s="23">
        <v>3</v>
      </c>
      <c r="T50" s="23">
        <v>3</v>
      </c>
      <c r="U50" s="23">
        <v>3</v>
      </c>
      <c r="V50" s="23">
        <v>3</v>
      </c>
      <c r="W50" s="23">
        <v>3</v>
      </c>
      <c r="X50" s="36">
        <v>0.65788999999999997</v>
      </c>
      <c r="Y50" s="28">
        <v>8.351505742375559E-2</v>
      </c>
      <c r="Z50" s="43">
        <v>22723000000</v>
      </c>
      <c r="AA50" s="22">
        <v>1</v>
      </c>
      <c r="AB50" s="22">
        <v>1</v>
      </c>
      <c r="AC50" s="23">
        <v>12</v>
      </c>
      <c r="AD50" s="23">
        <v>10</v>
      </c>
      <c r="AE50" s="23">
        <v>12</v>
      </c>
      <c r="AF50" s="23"/>
      <c r="AG50" s="23">
        <v>1</v>
      </c>
      <c r="AH50" s="61">
        <v>0.99839999999999995</v>
      </c>
      <c r="AI50" s="57">
        <v>5.1206500000000002E-2</v>
      </c>
      <c r="AJ50" s="104">
        <v>1.1100000000000001E-3</v>
      </c>
      <c r="AK50" s="96"/>
      <c r="AL50" s="1"/>
      <c r="AM50" s="2"/>
      <c r="AN50" s="21"/>
      <c r="AO50" s="21"/>
      <c r="AP50" s="21"/>
      <c r="AQ50" s="21"/>
    </row>
    <row r="51" spans="1:43" ht="15.75" customHeight="1">
      <c r="A51" s="14"/>
      <c r="B51" s="15" t="s">
        <v>32</v>
      </c>
      <c r="C51" s="31">
        <v>4</v>
      </c>
      <c r="D51" s="26">
        <v>2015</v>
      </c>
      <c r="E51" s="26"/>
      <c r="F51" s="25">
        <v>2E-3</v>
      </c>
      <c r="G51" s="32">
        <v>2.7799999999999998E-2</v>
      </c>
      <c r="H51" s="25">
        <v>0.90300000000000002</v>
      </c>
      <c r="I51" s="25">
        <v>0.97409999999999997</v>
      </c>
      <c r="J51" s="32">
        <v>4.0899999999999999E-2</v>
      </c>
      <c r="K51" s="25">
        <v>0.1236</v>
      </c>
      <c r="L51" s="25">
        <v>7.1099999999999997E-2</v>
      </c>
      <c r="M51" s="24">
        <v>3</v>
      </c>
      <c r="N51" s="23">
        <v>3</v>
      </c>
      <c r="O51" s="23">
        <v>3</v>
      </c>
      <c r="P51" s="23">
        <v>3</v>
      </c>
      <c r="Q51" s="23">
        <v>3</v>
      </c>
      <c r="R51" s="23">
        <v>3</v>
      </c>
      <c r="S51" s="23">
        <v>3</v>
      </c>
      <c r="T51" s="23">
        <v>3</v>
      </c>
      <c r="U51" s="23">
        <v>3</v>
      </c>
      <c r="V51" s="23">
        <v>3</v>
      </c>
      <c r="W51" s="23">
        <v>3</v>
      </c>
      <c r="X51" s="36">
        <v>0.64500000000000002</v>
      </c>
      <c r="Y51" s="28">
        <v>8.7316620290159436E-2</v>
      </c>
      <c r="Z51" s="43">
        <v>12533000000</v>
      </c>
      <c r="AA51" s="22">
        <v>1</v>
      </c>
      <c r="AB51" s="22">
        <v>1</v>
      </c>
      <c r="AC51" s="23">
        <v>11</v>
      </c>
      <c r="AD51" s="23">
        <v>9</v>
      </c>
      <c r="AE51" s="23">
        <v>12</v>
      </c>
      <c r="AF51" s="23"/>
      <c r="AG51" s="23">
        <v>1</v>
      </c>
      <c r="AH51" s="57">
        <v>0.98570000000000002</v>
      </c>
      <c r="AI51" s="57">
        <v>0.54390854</v>
      </c>
      <c r="AJ51" s="104">
        <v>2.4109999999999999E-2</v>
      </c>
      <c r="AK51" s="96"/>
      <c r="AL51" s="1"/>
      <c r="AM51" s="2"/>
      <c r="AN51" s="21"/>
      <c r="AO51" s="21"/>
      <c r="AP51" s="21"/>
      <c r="AQ51" s="21"/>
    </row>
    <row r="52" spans="1:43" ht="15.75" customHeight="1">
      <c r="A52" s="14"/>
      <c r="B52" s="15" t="s">
        <v>32</v>
      </c>
      <c r="C52" s="16">
        <v>4</v>
      </c>
      <c r="D52" s="26">
        <v>2016</v>
      </c>
      <c r="E52" s="26"/>
      <c r="F52" s="25">
        <v>2.2000000000000001E-3</v>
      </c>
      <c r="G52" s="32">
        <v>0.03</v>
      </c>
      <c r="H52" s="25">
        <v>0.95130000000000003</v>
      </c>
      <c r="I52" s="25">
        <v>0.97760000000000002</v>
      </c>
      <c r="J52" s="32">
        <v>3.2099999999999997E-2</v>
      </c>
      <c r="K52" s="25">
        <v>0.12740000000000001</v>
      </c>
      <c r="L52" s="25">
        <v>3.8300000000000001E-2</v>
      </c>
      <c r="M52" s="24">
        <v>2</v>
      </c>
      <c r="N52" s="23">
        <v>2</v>
      </c>
      <c r="O52" s="23">
        <v>2</v>
      </c>
      <c r="P52" s="23">
        <v>2</v>
      </c>
      <c r="Q52" s="23">
        <v>2</v>
      </c>
      <c r="R52" s="23">
        <v>2</v>
      </c>
      <c r="S52" s="23">
        <v>2</v>
      </c>
      <c r="T52" s="23">
        <v>2</v>
      </c>
      <c r="U52" s="23">
        <v>2</v>
      </c>
      <c r="V52" s="23">
        <v>2</v>
      </c>
      <c r="W52" s="23">
        <v>2</v>
      </c>
      <c r="X52" s="116" t="s">
        <v>178</v>
      </c>
      <c r="Y52" s="28">
        <v>6.8135374466712084E-2</v>
      </c>
      <c r="Z52" s="43">
        <v>13252000000</v>
      </c>
      <c r="AA52" s="22">
        <v>1</v>
      </c>
      <c r="AB52" s="22">
        <v>1</v>
      </c>
      <c r="AC52" s="23">
        <v>13</v>
      </c>
      <c r="AD52" s="23">
        <v>12</v>
      </c>
      <c r="AE52" s="23">
        <v>13</v>
      </c>
      <c r="AF52" s="23"/>
      <c r="AG52" s="23">
        <v>1</v>
      </c>
      <c r="AH52" s="57">
        <v>0.99960000000000004</v>
      </c>
      <c r="AI52" s="57">
        <v>0.54200000000000004</v>
      </c>
      <c r="AJ52" s="104">
        <v>9.1179999999999997E-2</v>
      </c>
      <c r="AK52" s="96"/>
      <c r="AL52" s="1"/>
      <c r="AM52" s="2"/>
      <c r="AN52" s="21"/>
      <c r="AO52" s="21"/>
      <c r="AP52" s="21"/>
      <c r="AQ52" s="21"/>
    </row>
    <row r="53" spans="1:43" ht="15.75" customHeight="1">
      <c r="A53" s="14"/>
      <c r="B53" s="15" t="s">
        <v>32</v>
      </c>
      <c r="C53" s="16">
        <v>4</v>
      </c>
      <c r="D53" s="26">
        <v>2017</v>
      </c>
      <c r="E53" s="26"/>
      <c r="F53" s="25">
        <v>1.1000000000000001E-3</v>
      </c>
      <c r="G53" s="32">
        <v>8.6999999999999994E-3</v>
      </c>
      <c r="H53" s="25">
        <v>0.84409999999999996</v>
      </c>
      <c r="I53" s="25">
        <v>0.9768</v>
      </c>
      <c r="J53" s="32">
        <v>2.4799999999999999E-2</v>
      </c>
      <c r="K53" s="25">
        <v>0.13619999999999999</v>
      </c>
      <c r="L53" s="25">
        <v>4.9500000000000002E-2</v>
      </c>
      <c r="M53" s="24">
        <v>3</v>
      </c>
      <c r="N53" s="23">
        <v>3</v>
      </c>
      <c r="O53" s="23">
        <v>3</v>
      </c>
      <c r="P53" s="23">
        <v>3</v>
      </c>
      <c r="Q53" s="23">
        <v>3</v>
      </c>
      <c r="R53" s="23">
        <v>3</v>
      </c>
      <c r="S53" s="23">
        <v>3</v>
      </c>
      <c r="T53" s="23">
        <v>3</v>
      </c>
      <c r="U53" s="23">
        <v>3</v>
      </c>
      <c r="V53" s="23">
        <v>3</v>
      </c>
      <c r="W53" s="23">
        <v>3</v>
      </c>
      <c r="X53" s="116" t="s">
        <v>180</v>
      </c>
      <c r="Y53" s="28">
        <v>6.0132583431933478E-2</v>
      </c>
      <c r="Z53" s="43">
        <v>15494000000</v>
      </c>
      <c r="AA53" s="22">
        <v>1</v>
      </c>
      <c r="AB53" s="22">
        <v>1</v>
      </c>
      <c r="AC53" s="23">
        <v>12</v>
      </c>
      <c r="AD53" s="23">
        <v>12</v>
      </c>
      <c r="AE53" s="23">
        <v>12</v>
      </c>
      <c r="AF53" s="23"/>
      <c r="AG53" s="23">
        <v>1</v>
      </c>
      <c r="AH53" s="57">
        <v>0.99970000000000003</v>
      </c>
      <c r="AI53" s="57">
        <v>0.498</v>
      </c>
      <c r="AJ53" s="104">
        <v>8.8900000000000007E-2</v>
      </c>
      <c r="AK53" s="96"/>
      <c r="AL53" s="1"/>
      <c r="AM53" s="2"/>
      <c r="AN53" s="21"/>
      <c r="AO53" s="21"/>
      <c r="AP53" s="21"/>
      <c r="AQ53" s="21"/>
    </row>
    <row r="54" spans="1:43" ht="15.75" customHeight="1">
      <c r="A54" s="14"/>
      <c r="B54" s="15" t="s">
        <v>32</v>
      </c>
      <c r="C54" s="16">
        <v>4</v>
      </c>
      <c r="D54" s="26">
        <v>2018</v>
      </c>
      <c r="E54" s="26"/>
      <c r="F54" s="25">
        <v>8.0000000000000004E-4</v>
      </c>
      <c r="G54" s="32">
        <v>1.1599999999999999E-2</v>
      </c>
      <c r="H54" s="25">
        <v>0.73180000000000001</v>
      </c>
      <c r="I54" s="25">
        <v>0.98240000000000005</v>
      </c>
      <c r="J54" s="32">
        <v>2.2200000000000001E-2</v>
      </c>
      <c r="K54" s="25">
        <v>0.1234</v>
      </c>
      <c r="L54" s="25">
        <v>2.58E-2</v>
      </c>
      <c r="M54" s="24">
        <v>3</v>
      </c>
      <c r="N54" s="23">
        <v>3</v>
      </c>
      <c r="O54" s="23">
        <v>3</v>
      </c>
      <c r="P54" s="23">
        <v>3</v>
      </c>
      <c r="Q54" s="23">
        <v>3</v>
      </c>
      <c r="R54" s="23">
        <v>3</v>
      </c>
      <c r="S54" s="23">
        <v>3</v>
      </c>
      <c r="T54" s="23">
        <v>3</v>
      </c>
      <c r="U54" s="23">
        <v>3</v>
      </c>
      <c r="V54" s="23">
        <v>3</v>
      </c>
      <c r="W54" s="23">
        <v>3</v>
      </c>
      <c r="X54" s="116" t="s">
        <v>180</v>
      </c>
      <c r="Y54" s="28">
        <v>5.6267146626592345E-2</v>
      </c>
      <c r="Z54" s="43">
        <v>10586000000</v>
      </c>
      <c r="AA54" s="22">
        <v>1</v>
      </c>
      <c r="AB54" s="22">
        <v>1</v>
      </c>
      <c r="AC54" s="23">
        <v>11</v>
      </c>
      <c r="AD54" s="23">
        <v>12</v>
      </c>
      <c r="AE54" s="23">
        <v>12</v>
      </c>
      <c r="AF54" s="23"/>
      <c r="AG54" s="23">
        <v>1</v>
      </c>
      <c r="AH54" s="57">
        <v>0.99980000000000002</v>
      </c>
      <c r="AI54" s="57">
        <v>0.48499999999999999</v>
      </c>
      <c r="AJ54" s="104">
        <v>0.11001</v>
      </c>
      <c r="AK54" s="96"/>
      <c r="AL54" s="1"/>
      <c r="AM54" s="2"/>
      <c r="AN54" s="21"/>
      <c r="AO54" s="21"/>
      <c r="AP54" s="21"/>
      <c r="AQ54" s="21"/>
    </row>
    <row r="55" spans="1:43" ht="15.75" customHeight="1">
      <c r="A55" s="14"/>
      <c r="B55" s="15" t="s">
        <v>32</v>
      </c>
      <c r="C55" s="16">
        <v>4</v>
      </c>
      <c r="D55" s="26">
        <v>2019</v>
      </c>
      <c r="E55" s="26"/>
      <c r="F55" s="25">
        <v>5.0000000000000001E-4</v>
      </c>
      <c r="G55" s="32">
        <v>4.4999999999999998E-2</v>
      </c>
      <c r="H55" s="25">
        <v>0.73509999999999998</v>
      </c>
      <c r="I55" s="25">
        <v>0.995</v>
      </c>
      <c r="J55" s="32">
        <v>8.3000000000000004E-2</v>
      </c>
      <c r="K55" s="25">
        <v>0.1242</v>
      </c>
      <c r="L55" s="25">
        <v>4.2999999999999997E-2</v>
      </c>
      <c r="M55" s="24">
        <v>3</v>
      </c>
      <c r="N55" s="23">
        <v>3</v>
      </c>
      <c r="O55" s="23">
        <v>3</v>
      </c>
      <c r="P55" s="23">
        <v>3</v>
      </c>
      <c r="Q55" s="23">
        <v>3</v>
      </c>
      <c r="R55" s="23">
        <v>3</v>
      </c>
      <c r="S55" s="23">
        <v>3</v>
      </c>
      <c r="T55" s="23">
        <v>3</v>
      </c>
      <c r="U55" s="23">
        <v>3</v>
      </c>
      <c r="V55" s="23">
        <v>3</v>
      </c>
      <c r="W55" s="23">
        <v>3</v>
      </c>
      <c r="X55" s="116" t="s">
        <v>181</v>
      </c>
      <c r="Y55" s="28">
        <v>5.4988527573383968E-2</v>
      </c>
      <c r="Z55" s="43">
        <v>10868786000</v>
      </c>
      <c r="AA55" s="22">
        <v>1</v>
      </c>
      <c r="AB55" s="22">
        <v>1</v>
      </c>
      <c r="AC55" s="23">
        <v>12</v>
      </c>
      <c r="AD55" s="23">
        <v>12</v>
      </c>
      <c r="AE55" s="23">
        <v>12</v>
      </c>
      <c r="AF55" s="23"/>
      <c r="AG55" s="23">
        <v>1</v>
      </c>
      <c r="AH55" s="57">
        <v>0.99980000000000002</v>
      </c>
      <c r="AI55" s="57">
        <v>0.5</v>
      </c>
      <c r="AJ55" s="107">
        <v>0.26962000000000003</v>
      </c>
      <c r="AK55" s="96"/>
      <c r="AL55" s="1"/>
      <c r="AM55" s="2"/>
      <c r="AN55" s="21"/>
      <c r="AO55" s="21"/>
      <c r="AP55" s="21"/>
      <c r="AQ55" s="21"/>
    </row>
    <row r="56" spans="1:43" ht="15.75" hidden="1" customHeight="1">
      <c r="A56" s="14"/>
      <c r="B56" s="15" t="s">
        <v>32</v>
      </c>
      <c r="C56" s="16">
        <v>4</v>
      </c>
      <c r="D56" s="26">
        <v>2020</v>
      </c>
      <c r="E56" s="26"/>
      <c r="F56" s="25">
        <v>2.9999999999999997E-4</v>
      </c>
      <c r="G56" s="25"/>
      <c r="H56" s="25">
        <v>0.69840000000000002</v>
      </c>
      <c r="I56" s="25">
        <v>0.99450000000000005</v>
      </c>
      <c r="J56" s="25"/>
      <c r="K56" s="25">
        <v>0.15210000000000001</v>
      </c>
      <c r="L56" s="25">
        <v>3.95E-2</v>
      </c>
      <c r="M56" s="24">
        <v>3</v>
      </c>
      <c r="N56" s="20"/>
      <c r="O56" s="20"/>
      <c r="P56" s="20"/>
      <c r="Q56" s="20"/>
      <c r="R56" s="20"/>
      <c r="S56" s="20"/>
      <c r="T56" s="20"/>
      <c r="U56" s="20"/>
      <c r="V56" s="20"/>
      <c r="W56" s="20"/>
      <c r="X56" s="27">
        <v>0.83673469387755106</v>
      </c>
      <c r="Y56" s="28">
        <v>4.746199332565719E-2</v>
      </c>
      <c r="Z56" s="29"/>
      <c r="AA56" s="34"/>
      <c r="AB56" s="34"/>
      <c r="AC56" s="24"/>
      <c r="AD56" s="24"/>
      <c r="AE56" s="24"/>
      <c r="AF56" s="24"/>
      <c r="AG56" s="24"/>
      <c r="AH56" s="59"/>
      <c r="AI56" s="59"/>
      <c r="AJ56" s="104" t="e">
        <f>#REF!</f>
        <v>#REF!</v>
      </c>
      <c r="AK56" s="96"/>
      <c r="AL56" s="1"/>
      <c r="AM56" s="2"/>
      <c r="AN56" s="21"/>
      <c r="AO56" s="21"/>
      <c r="AP56" s="21"/>
      <c r="AQ56" s="21"/>
    </row>
    <row r="57" spans="1:43" ht="15.75" customHeight="1">
      <c r="A57" s="14">
        <v>5</v>
      </c>
      <c r="B57" s="15" t="s">
        <v>77</v>
      </c>
      <c r="C57" s="16">
        <v>5</v>
      </c>
      <c r="D57" s="26">
        <v>2010</v>
      </c>
      <c r="E57" s="75">
        <v>40330</v>
      </c>
      <c r="F57" s="89">
        <v>6.1000000000000004E-3</v>
      </c>
      <c r="G57" s="89">
        <v>3.6499999999999998E-2</v>
      </c>
      <c r="H57" s="89">
        <v>0.68920000000000003</v>
      </c>
      <c r="I57" s="89">
        <v>0.88049999999999995</v>
      </c>
      <c r="J57" s="89">
        <v>8.7400000000000005E-2</v>
      </c>
      <c r="K57" s="89">
        <v>0.27679999999999999</v>
      </c>
      <c r="L57" s="89">
        <v>1.95E-2</v>
      </c>
      <c r="M57" s="24">
        <v>1</v>
      </c>
      <c r="N57" s="24">
        <v>1.62</v>
      </c>
      <c r="O57" s="24">
        <v>1</v>
      </c>
      <c r="P57" s="24">
        <v>1</v>
      </c>
      <c r="Q57" s="24">
        <v>1.62</v>
      </c>
      <c r="R57" s="24">
        <v>1.62</v>
      </c>
      <c r="S57" s="24">
        <v>1.62</v>
      </c>
      <c r="T57" s="24">
        <v>1</v>
      </c>
      <c r="U57" s="24">
        <v>1.62</v>
      </c>
      <c r="V57" s="24">
        <v>1.62</v>
      </c>
      <c r="W57" s="24">
        <v>1.62</v>
      </c>
      <c r="X57" s="70">
        <v>0.53100000000000003</v>
      </c>
      <c r="Y57" s="28"/>
      <c r="Z57" s="67">
        <v>0</v>
      </c>
      <c r="AA57" s="34">
        <v>0</v>
      </c>
      <c r="AB57" s="34">
        <v>1</v>
      </c>
      <c r="AC57" s="24">
        <v>4</v>
      </c>
      <c r="AD57" s="24">
        <v>22</v>
      </c>
      <c r="AE57" s="24"/>
      <c r="AF57" s="24"/>
      <c r="AG57" s="24">
        <v>1</v>
      </c>
      <c r="AH57" s="58">
        <v>0.99990000000000001</v>
      </c>
      <c r="AI57" s="58">
        <v>4.9000000000000002E-2</v>
      </c>
      <c r="AJ57" s="104" t="s">
        <v>142</v>
      </c>
      <c r="AK57" s="96" t="s">
        <v>122</v>
      </c>
      <c r="AL57" s="1"/>
      <c r="AM57" s="2"/>
      <c r="AN57" s="21"/>
      <c r="AO57" s="21"/>
      <c r="AP57" s="21"/>
      <c r="AQ57" s="21"/>
    </row>
    <row r="58" spans="1:43" ht="15.75" customHeight="1">
      <c r="A58" s="14"/>
      <c r="B58" s="15" t="s">
        <v>77</v>
      </c>
      <c r="C58" s="16">
        <v>5</v>
      </c>
      <c r="D58" s="26">
        <v>2011</v>
      </c>
      <c r="E58" s="26"/>
      <c r="F58" s="26">
        <v>1.29</v>
      </c>
      <c r="G58" s="25">
        <v>6.6299999999999998E-2</v>
      </c>
      <c r="H58" s="26" t="s">
        <v>78</v>
      </c>
      <c r="I58" s="26" t="s">
        <v>79</v>
      </c>
      <c r="J58" s="89">
        <v>8.0699999999999994E-2</v>
      </c>
      <c r="K58" s="26">
        <v>20.67</v>
      </c>
      <c r="L58" s="26" t="s">
        <v>80</v>
      </c>
      <c r="M58" s="24">
        <v>1</v>
      </c>
      <c r="N58" s="24">
        <v>1.67</v>
      </c>
      <c r="O58" s="24">
        <v>1</v>
      </c>
      <c r="P58" s="24">
        <v>1.67</v>
      </c>
      <c r="Q58" s="24">
        <v>1</v>
      </c>
      <c r="R58" s="24">
        <v>1.67</v>
      </c>
      <c r="S58" s="24">
        <v>1.67</v>
      </c>
      <c r="T58" s="24">
        <v>1.67</v>
      </c>
      <c r="U58" s="24">
        <v>1.67</v>
      </c>
      <c r="V58" s="24">
        <v>1.67</v>
      </c>
      <c r="W58" s="24">
        <v>1.67</v>
      </c>
      <c r="X58" s="70">
        <v>0.56599999999999995</v>
      </c>
      <c r="Y58" s="28"/>
      <c r="Z58" s="29">
        <v>56180000000</v>
      </c>
      <c r="AA58" s="34">
        <v>0</v>
      </c>
      <c r="AB58" s="34">
        <v>1</v>
      </c>
      <c r="AC58" s="24">
        <v>4</v>
      </c>
      <c r="AD58" s="24">
        <v>17</v>
      </c>
      <c r="AE58" s="24"/>
      <c r="AF58" s="24"/>
      <c r="AG58" s="24">
        <v>1</v>
      </c>
      <c r="AH58" s="58">
        <v>0.99990000000000001</v>
      </c>
      <c r="AI58" s="58">
        <v>8.2100000000000006E-2</v>
      </c>
      <c r="AJ58" s="106">
        <v>1.309329</v>
      </c>
      <c r="AK58" s="96"/>
      <c r="AL58" s="1"/>
      <c r="AM58" s="2"/>
      <c r="AN58" s="21"/>
      <c r="AO58" s="21"/>
      <c r="AP58" s="21"/>
      <c r="AQ58" s="21"/>
    </row>
    <row r="59" spans="1:43" ht="15.75" customHeight="1">
      <c r="A59" s="14"/>
      <c r="B59" s="15" t="s">
        <v>77</v>
      </c>
      <c r="C59" s="16">
        <v>5</v>
      </c>
      <c r="D59" s="26">
        <v>2012</v>
      </c>
      <c r="E59" s="26"/>
      <c r="F59" s="26">
        <v>1.48</v>
      </c>
      <c r="G59" s="25">
        <v>0.1018</v>
      </c>
      <c r="H59" s="26" t="s">
        <v>81</v>
      </c>
      <c r="I59" s="26" t="s">
        <v>82</v>
      </c>
      <c r="J59" s="89">
        <v>7.3099999999999998E-2</v>
      </c>
      <c r="K59" s="26">
        <v>14.1</v>
      </c>
      <c r="L59" s="26" t="s">
        <v>83</v>
      </c>
      <c r="M59" s="24">
        <v>1.25</v>
      </c>
      <c r="N59" s="24">
        <v>1.25</v>
      </c>
      <c r="O59" s="24">
        <v>1.25</v>
      </c>
      <c r="P59" s="24">
        <v>2</v>
      </c>
      <c r="Q59" s="24">
        <v>2</v>
      </c>
      <c r="R59" s="24">
        <v>1.25</v>
      </c>
      <c r="S59" s="24">
        <v>2</v>
      </c>
      <c r="T59" s="24">
        <v>1.25</v>
      </c>
      <c r="U59" s="24">
        <v>2</v>
      </c>
      <c r="V59" s="24">
        <v>1.25</v>
      </c>
      <c r="W59" s="24">
        <v>1.25</v>
      </c>
      <c r="X59" s="36">
        <v>0.64600000000000002</v>
      </c>
      <c r="Y59" s="28"/>
      <c r="Z59" s="43">
        <v>45380000000</v>
      </c>
      <c r="AA59" s="34">
        <v>0</v>
      </c>
      <c r="AB59" s="34">
        <v>1</v>
      </c>
      <c r="AC59" s="24">
        <v>15</v>
      </c>
      <c r="AD59" s="24">
        <v>20</v>
      </c>
      <c r="AE59" s="24"/>
      <c r="AF59" s="24"/>
      <c r="AG59" s="24">
        <v>1</v>
      </c>
      <c r="AH59" s="58">
        <v>0.99990000000000001</v>
      </c>
      <c r="AI59" s="58">
        <v>0.16685161000000001</v>
      </c>
      <c r="AJ59" s="106">
        <v>0.97814100000000004</v>
      </c>
      <c r="AK59" s="96"/>
      <c r="AL59" s="1"/>
      <c r="AM59" s="2"/>
      <c r="AN59" s="21"/>
      <c r="AO59" s="21"/>
      <c r="AP59" s="21"/>
      <c r="AQ59" s="21"/>
    </row>
    <row r="60" spans="1:43" ht="15.75" customHeight="1">
      <c r="A60" s="14"/>
      <c r="B60" s="15" t="s">
        <v>77</v>
      </c>
      <c r="C60" s="16">
        <v>5</v>
      </c>
      <c r="D60" s="26">
        <v>2013</v>
      </c>
      <c r="E60" s="26"/>
      <c r="F60" s="25">
        <v>1.37E-2</v>
      </c>
      <c r="G60" s="25">
        <v>0.1173</v>
      </c>
      <c r="H60" s="25">
        <v>0.97860000000000003</v>
      </c>
      <c r="I60" s="25">
        <v>0.83940000000000003</v>
      </c>
      <c r="J60" s="89">
        <v>9.5100000000000004E-2</v>
      </c>
      <c r="K60" s="25">
        <v>0.1623</v>
      </c>
      <c r="L60" s="25">
        <v>1.1299999999999999E-2</v>
      </c>
      <c r="M60" s="24">
        <v>1</v>
      </c>
      <c r="N60" s="24">
        <v>1</v>
      </c>
      <c r="O60" s="24">
        <v>1</v>
      </c>
      <c r="P60" s="24">
        <v>2</v>
      </c>
      <c r="Q60" s="24">
        <v>2</v>
      </c>
      <c r="R60" s="24">
        <v>1</v>
      </c>
      <c r="S60" s="24">
        <v>1</v>
      </c>
      <c r="T60" s="24">
        <v>1</v>
      </c>
      <c r="U60" s="24">
        <v>1</v>
      </c>
      <c r="V60" s="24">
        <v>2</v>
      </c>
      <c r="W60" s="24">
        <v>1</v>
      </c>
      <c r="X60" s="36">
        <v>0.64500000000000002</v>
      </c>
      <c r="Y60" s="28">
        <v>9.0624787545040456E-2</v>
      </c>
      <c r="Z60" s="43">
        <v>77040000000</v>
      </c>
      <c r="AA60" s="34">
        <v>0</v>
      </c>
      <c r="AB60" s="34">
        <v>1</v>
      </c>
      <c r="AC60" s="24">
        <v>8</v>
      </c>
      <c r="AD60" s="24">
        <v>15</v>
      </c>
      <c r="AE60" s="24"/>
      <c r="AF60" s="24"/>
      <c r="AG60" s="24">
        <v>1</v>
      </c>
      <c r="AH60" s="58">
        <v>0.99990000000000001</v>
      </c>
      <c r="AI60" s="58">
        <v>0.16001130999999999</v>
      </c>
      <c r="AJ60" s="106">
        <v>0.75153499999999995</v>
      </c>
      <c r="AK60" s="96"/>
      <c r="AL60" s="1"/>
      <c r="AM60" s="2"/>
      <c r="AN60" s="21"/>
      <c r="AO60" s="21"/>
      <c r="AP60" s="21"/>
      <c r="AQ60" s="21"/>
    </row>
    <row r="61" spans="1:43" ht="15.75" customHeight="1">
      <c r="A61" s="14"/>
      <c r="B61" s="15" t="s">
        <v>77</v>
      </c>
      <c r="C61" s="16">
        <v>5</v>
      </c>
      <c r="D61" s="26">
        <v>2014</v>
      </c>
      <c r="E61" s="26"/>
      <c r="F61" s="25">
        <v>1.2699999999999999E-2</v>
      </c>
      <c r="G61" s="32">
        <v>0.13980000000000001</v>
      </c>
      <c r="H61" s="25">
        <v>0.92579999999999996</v>
      </c>
      <c r="I61" s="25">
        <v>0.85029999999999994</v>
      </c>
      <c r="J61" s="32">
        <v>9.0399999999999994E-2</v>
      </c>
      <c r="K61" s="25">
        <v>0.1842</v>
      </c>
      <c r="L61" s="25">
        <v>1.04E-2</v>
      </c>
      <c r="M61" s="23">
        <v>2</v>
      </c>
      <c r="N61" s="23">
        <v>2</v>
      </c>
      <c r="O61" s="23">
        <v>2</v>
      </c>
      <c r="P61" s="23">
        <v>2</v>
      </c>
      <c r="Q61" s="23">
        <v>2</v>
      </c>
      <c r="R61" s="23">
        <v>2</v>
      </c>
      <c r="S61" s="23">
        <v>2</v>
      </c>
      <c r="T61" s="23">
        <v>2</v>
      </c>
      <c r="U61" s="23">
        <v>2</v>
      </c>
      <c r="V61" s="23">
        <v>2</v>
      </c>
      <c r="W61" s="23">
        <v>2</v>
      </c>
      <c r="X61" s="36">
        <v>0.68799999999999994</v>
      </c>
      <c r="Y61" s="28">
        <v>0.10394007798071003</v>
      </c>
      <c r="Z61" s="43">
        <v>11879000000</v>
      </c>
      <c r="AA61" s="34">
        <v>0</v>
      </c>
      <c r="AB61" s="34">
        <v>1</v>
      </c>
      <c r="AC61" s="24">
        <v>15</v>
      </c>
      <c r="AD61" s="24">
        <v>18</v>
      </c>
      <c r="AE61" s="24"/>
      <c r="AF61" s="24"/>
      <c r="AG61" s="24">
        <v>1</v>
      </c>
      <c r="AH61" s="58">
        <v>0.99990000000000001</v>
      </c>
      <c r="AI61" s="61">
        <v>0.16377627</v>
      </c>
      <c r="AJ61" s="104">
        <v>0.17107</v>
      </c>
      <c r="AK61" s="96"/>
      <c r="AL61" s="1"/>
      <c r="AM61" s="2"/>
      <c r="AN61" s="21"/>
      <c r="AO61" s="21"/>
      <c r="AP61" s="21"/>
      <c r="AQ61" s="21"/>
    </row>
    <row r="62" spans="1:43" ht="15.75" customHeight="1">
      <c r="A62" s="14"/>
      <c r="B62" s="15" t="s">
        <v>77</v>
      </c>
      <c r="C62" s="16">
        <v>5</v>
      </c>
      <c r="D62" s="26">
        <v>2015</v>
      </c>
      <c r="E62" s="26"/>
      <c r="F62" s="25">
        <v>1.43E-2</v>
      </c>
      <c r="G62" s="32">
        <v>0.1139</v>
      </c>
      <c r="H62" s="25">
        <v>0.9194</v>
      </c>
      <c r="I62" s="25">
        <v>0.89629999999999999</v>
      </c>
      <c r="J62" s="32">
        <v>8.2500000000000004E-2</v>
      </c>
      <c r="K62" s="25">
        <v>0.18110000000000001</v>
      </c>
      <c r="L62" s="25">
        <v>1.46E-2</v>
      </c>
      <c r="M62" s="23">
        <v>2</v>
      </c>
      <c r="N62" s="23">
        <v>2</v>
      </c>
      <c r="O62" s="23">
        <v>2</v>
      </c>
      <c r="P62" s="23">
        <v>2</v>
      </c>
      <c r="Q62" s="23">
        <v>2</v>
      </c>
      <c r="R62" s="23">
        <v>2</v>
      </c>
      <c r="S62" s="23">
        <v>2</v>
      </c>
      <c r="T62" s="23">
        <v>2</v>
      </c>
      <c r="U62" s="23">
        <v>2</v>
      </c>
      <c r="V62" s="23">
        <v>2</v>
      </c>
      <c r="W62" s="23">
        <v>2</v>
      </c>
      <c r="X62" s="36">
        <v>0.72899999999999998</v>
      </c>
      <c r="Y62" s="28">
        <v>0.10552611000086888</v>
      </c>
      <c r="Z62" s="43">
        <v>31284000000</v>
      </c>
      <c r="AA62" s="34">
        <v>0</v>
      </c>
      <c r="AB62" s="34">
        <v>1</v>
      </c>
      <c r="AC62" s="45">
        <v>20</v>
      </c>
      <c r="AD62" s="45">
        <v>20</v>
      </c>
      <c r="AE62" s="24"/>
      <c r="AF62" s="24"/>
      <c r="AG62" s="24">
        <v>1</v>
      </c>
      <c r="AH62" s="58">
        <v>0.99990000000000001</v>
      </c>
      <c r="AI62" s="57">
        <v>0.19321265000000001</v>
      </c>
      <c r="AJ62" s="104">
        <v>0.14119000000000001</v>
      </c>
      <c r="AK62" s="96"/>
      <c r="AL62" s="1"/>
      <c r="AM62" s="2"/>
      <c r="AN62" s="21"/>
      <c r="AO62" s="21"/>
      <c r="AP62" s="21"/>
      <c r="AQ62" s="21"/>
    </row>
    <row r="63" spans="1:43" ht="15.75" customHeight="1">
      <c r="A63" s="14"/>
      <c r="B63" s="15" t="s">
        <v>77</v>
      </c>
      <c r="C63" s="16">
        <v>5</v>
      </c>
      <c r="D63" s="26">
        <v>2016</v>
      </c>
      <c r="E63" s="26"/>
      <c r="F63" s="25">
        <v>1.44E-2</v>
      </c>
      <c r="G63" s="32">
        <v>0.11940000000000001</v>
      </c>
      <c r="H63" s="25">
        <v>0.84570000000000001</v>
      </c>
      <c r="I63" s="25">
        <v>0.87670000000000003</v>
      </c>
      <c r="J63" s="32">
        <v>8.3199999999999996E-2</v>
      </c>
      <c r="K63" s="25">
        <v>0.17810000000000001</v>
      </c>
      <c r="L63" s="25">
        <v>1.6400000000000001E-2</v>
      </c>
      <c r="M63" s="23">
        <v>2</v>
      </c>
      <c r="N63" s="23">
        <v>2</v>
      </c>
      <c r="O63" s="23">
        <v>2</v>
      </c>
      <c r="P63" s="23">
        <v>2</v>
      </c>
      <c r="Q63" s="23">
        <v>2</v>
      </c>
      <c r="R63" s="23">
        <v>2</v>
      </c>
      <c r="S63" s="23">
        <v>2</v>
      </c>
      <c r="T63" s="23">
        <v>2</v>
      </c>
      <c r="U63" s="23">
        <v>2</v>
      </c>
      <c r="V63" s="23">
        <v>2</v>
      </c>
      <c r="W63" s="23">
        <v>2</v>
      </c>
      <c r="X63" s="116" t="s">
        <v>177</v>
      </c>
      <c r="Y63" s="28">
        <v>9.8961644416189876E-2</v>
      </c>
      <c r="Z63" s="43">
        <v>22766000000</v>
      </c>
      <c r="AA63" s="34">
        <v>0</v>
      </c>
      <c r="AB63" s="34">
        <v>1</v>
      </c>
      <c r="AC63" s="24">
        <v>13</v>
      </c>
      <c r="AD63" s="24">
        <v>12</v>
      </c>
      <c r="AE63" s="24"/>
      <c r="AF63" s="24"/>
      <c r="AG63" s="24">
        <v>1</v>
      </c>
      <c r="AH63" s="57">
        <v>0.99990000000000001</v>
      </c>
      <c r="AI63" s="57">
        <v>0.19900000000000001</v>
      </c>
      <c r="AJ63" s="104">
        <v>0.16187000000000001</v>
      </c>
      <c r="AK63" s="96"/>
      <c r="AL63" s="1"/>
      <c r="AM63" s="2"/>
      <c r="AN63" s="21"/>
      <c r="AO63" s="21"/>
      <c r="AP63" s="21"/>
      <c r="AQ63" s="21"/>
    </row>
    <row r="64" spans="1:43" ht="15.75" customHeight="1">
      <c r="A64" s="14"/>
      <c r="B64" s="15" t="s">
        <v>77</v>
      </c>
      <c r="C64" s="16">
        <v>5</v>
      </c>
      <c r="D64" s="26">
        <v>2017</v>
      </c>
      <c r="E64" s="26"/>
      <c r="F64" s="25">
        <v>1.3100000000000001E-2</v>
      </c>
      <c r="G64" s="32">
        <v>0.1142</v>
      </c>
      <c r="H64" s="25">
        <v>0.80210000000000004</v>
      </c>
      <c r="I64" s="25">
        <v>0.87619999999999998</v>
      </c>
      <c r="J64" s="32">
        <v>8.1000000000000003E-2</v>
      </c>
      <c r="K64" s="25">
        <v>0.2014</v>
      </c>
      <c r="L64" s="25">
        <v>1.4999999999999999E-2</v>
      </c>
      <c r="M64" s="23">
        <v>2</v>
      </c>
      <c r="N64" s="23">
        <v>2</v>
      </c>
      <c r="O64" s="23">
        <v>2</v>
      </c>
      <c r="P64" s="23">
        <v>2</v>
      </c>
      <c r="Q64" s="23">
        <v>2</v>
      </c>
      <c r="R64" s="23">
        <v>2</v>
      </c>
      <c r="S64" s="23">
        <v>2</v>
      </c>
      <c r="T64" s="23">
        <v>2</v>
      </c>
      <c r="U64" s="23">
        <v>2</v>
      </c>
      <c r="V64" s="23">
        <v>2</v>
      </c>
      <c r="W64" s="23">
        <v>2</v>
      </c>
      <c r="X64" s="116" t="s">
        <v>182</v>
      </c>
      <c r="Y64" s="28">
        <v>9.1580035609672053E-2</v>
      </c>
      <c r="Z64" s="43">
        <v>24636000000</v>
      </c>
      <c r="AA64" s="34">
        <v>0</v>
      </c>
      <c r="AB64" s="34">
        <v>1</v>
      </c>
      <c r="AC64" s="45">
        <v>19</v>
      </c>
      <c r="AD64" s="45">
        <v>19</v>
      </c>
      <c r="AE64" s="24"/>
      <c r="AF64" s="24"/>
      <c r="AG64" s="24">
        <v>1</v>
      </c>
      <c r="AH64" s="57">
        <v>0.99950000000000006</v>
      </c>
      <c r="AI64" s="57">
        <v>0.22500000000000001</v>
      </c>
      <c r="AJ64" s="104">
        <v>0.25220999999999999</v>
      </c>
      <c r="AK64" s="96"/>
      <c r="AL64" s="1"/>
      <c r="AM64" s="2"/>
      <c r="AN64" s="21"/>
      <c r="AO64" s="21"/>
      <c r="AP64" s="21"/>
      <c r="AQ64" s="21"/>
    </row>
    <row r="65" spans="1:43" ht="15.75" customHeight="1">
      <c r="A65" s="14"/>
      <c r="B65" s="15" t="s">
        <v>77</v>
      </c>
      <c r="C65" s="16">
        <v>5</v>
      </c>
      <c r="D65" s="26">
        <v>2018</v>
      </c>
      <c r="E65" s="26"/>
      <c r="F65" s="25">
        <v>1.4200000000000001E-2</v>
      </c>
      <c r="G65" s="32">
        <v>0.1053</v>
      </c>
      <c r="H65" s="25">
        <v>0.92600000000000005</v>
      </c>
      <c r="I65" s="25">
        <v>0.89800000000000002</v>
      </c>
      <c r="J65" s="32">
        <v>8.0100000000000005E-2</v>
      </c>
      <c r="K65" s="25">
        <v>0.19309999999999999</v>
      </c>
      <c r="L65" s="25">
        <v>1.52E-2</v>
      </c>
      <c r="M65" s="23">
        <v>2</v>
      </c>
      <c r="N65" s="23">
        <v>2</v>
      </c>
      <c r="O65" s="23">
        <v>2</v>
      </c>
      <c r="P65" s="23">
        <v>2</v>
      </c>
      <c r="Q65" s="23">
        <v>2</v>
      </c>
      <c r="R65" s="23">
        <v>2</v>
      </c>
      <c r="S65" s="23">
        <v>2</v>
      </c>
      <c r="T65" s="23">
        <v>2</v>
      </c>
      <c r="U65" s="23">
        <v>2</v>
      </c>
      <c r="V65" s="23">
        <v>2</v>
      </c>
      <c r="W65" s="23">
        <v>2</v>
      </c>
      <c r="X65" s="116" t="s">
        <v>182</v>
      </c>
      <c r="Y65" s="28">
        <v>8.7675704645667374E-2</v>
      </c>
      <c r="Z65" s="43">
        <v>27751000000</v>
      </c>
      <c r="AA65" s="34">
        <v>0</v>
      </c>
      <c r="AB65" s="34">
        <v>1</v>
      </c>
      <c r="AC65" s="45">
        <v>26</v>
      </c>
      <c r="AD65" s="45">
        <v>26</v>
      </c>
      <c r="AE65" s="24"/>
      <c r="AF65" s="24"/>
      <c r="AG65" s="24">
        <v>1</v>
      </c>
      <c r="AH65" s="55">
        <v>0.99990000000000001</v>
      </c>
      <c r="AI65" s="55">
        <v>0.28399999999999997</v>
      </c>
      <c r="AJ65" s="104">
        <v>0.23760999999999999</v>
      </c>
      <c r="AK65" s="96"/>
      <c r="AL65" s="1"/>
      <c r="AM65" s="2"/>
      <c r="AN65" s="21"/>
      <c r="AO65" s="21"/>
      <c r="AP65" s="21"/>
      <c r="AQ65" s="21"/>
    </row>
    <row r="66" spans="1:43" ht="15.75" customHeight="1">
      <c r="A66" s="14"/>
      <c r="B66" s="15" t="s">
        <v>77</v>
      </c>
      <c r="C66" s="16">
        <v>5</v>
      </c>
      <c r="D66" s="26">
        <v>2019</v>
      </c>
      <c r="E66" s="26"/>
      <c r="F66" s="25">
        <v>1.8200000000000001E-2</v>
      </c>
      <c r="G66" s="32">
        <v>0.13539999999999999</v>
      </c>
      <c r="H66" s="25">
        <v>0.74309999999999998</v>
      </c>
      <c r="I66" s="25">
        <v>0.81259999999999999</v>
      </c>
      <c r="J66" s="32">
        <v>7.3599999999999999E-2</v>
      </c>
      <c r="K66" s="25">
        <v>0.1888</v>
      </c>
      <c r="L66" s="25">
        <v>1.44E-2</v>
      </c>
      <c r="M66" s="23">
        <v>2</v>
      </c>
      <c r="N66" s="23">
        <v>2</v>
      </c>
      <c r="O66" s="23">
        <v>2</v>
      </c>
      <c r="P66" s="23">
        <v>2</v>
      </c>
      <c r="Q66" s="23">
        <v>2</v>
      </c>
      <c r="R66" s="23">
        <v>2</v>
      </c>
      <c r="S66" s="23">
        <v>2</v>
      </c>
      <c r="T66" s="23">
        <v>2</v>
      </c>
      <c r="U66" s="23">
        <v>2</v>
      </c>
      <c r="V66" s="23">
        <v>2</v>
      </c>
      <c r="W66" s="23">
        <v>2</v>
      </c>
      <c r="X66" s="116" t="s">
        <v>175</v>
      </c>
      <c r="Y66" s="28">
        <v>8.1692677070828335E-2</v>
      </c>
      <c r="Z66" s="43">
        <v>46928000000</v>
      </c>
      <c r="AA66" s="34">
        <v>0</v>
      </c>
      <c r="AB66" s="34">
        <v>1</v>
      </c>
      <c r="AC66" s="45">
        <v>28</v>
      </c>
      <c r="AD66" s="45">
        <v>28</v>
      </c>
      <c r="AE66" s="24"/>
      <c r="AF66" s="24"/>
      <c r="AG66" s="24">
        <v>1</v>
      </c>
      <c r="AH66" s="59">
        <v>0.99970000000000003</v>
      </c>
      <c r="AI66" s="59">
        <v>0.33600000000000002</v>
      </c>
      <c r="AJ66" s="107">
        <v>0.39241300000000001</v>
      </c>
      <c r="AK66" s="96"/>
      <c r="AL66" s="1"/>
      <c r="AM66" s="2"/>
      <c r="AN66" s="21"/>
      <c r="AO66" s="21"/>
      <c r="AP66" s="21"/>
      <c r="AQ66" s="21"/>
    </row>
    <row r="67" spans="1:43" ht="15.75" hidden="1" customHeight="1">
      <c r="A67" s="14"/>
      <c r="B67" s="15" t="s">
        <v>77</v>
      </c>
      <c r="C67" s="16">
        <v>5</v>
      </c>
      <c r="D67" s="26">
        <v>2020</v>
      </c>
      <c r="E67" s="26"/>
      <c r="F67" s="25">
        <v>1.3299999999999999E-2</v>
      </c>
      <c r="G67" s="25"/>
      <c r="H67" s="25">
        <v>0.68789999999999996</v>
      </c>
      <c r="I67" s="25">
        <v>0.84060000000000001</v>
      </c>
      <c r="J67" s="25"/>
      <c r="K67" s="25">
        <v>0.21360000000000001</v>
      </c>
      <c r="L67" s="25">
        <v>1.35E-2</v>
      </c>
      <c r="M67" s="24">
        <v>2</v>
      </c>
      <c r="N67" s="20"/>
      <c r="O67" s="20"/>
      <c r="P67" s="20"/>
      <c r="Q67" s="20"/>
      <c r="R67" s="20"/>
      <c r="S67" s="20"/>
      <c r="T67" s="20"/>
      <c r="U67" s="20"/>
      <c r="V67" s="20"/>
      <c r="W67" s="20"/>
      <c r="X67" s="27">
        <v>0.8571428571428571</v>
      </c>
      <c r="Y67" s="28">
        <v>7.4442363976803802E-2</v>
      </c>
      <c r="Z67" s="29"/>
      <c r="AA67" s="34"/>
      <c r="AB67" s="34"/>
      <c r="AC67" s="24"/>
      <c r="AD67" s="24"/>
      <c r="AE67" s="24"/>
      <c r="AF67" s="24"/>
      <c r="AG67" s="24"/>
      <c r="AH67" s="59"/>
      <c r="AI67" s="59"/>
      <c r="AJ67" s="108"/>
      <c r="AK67" s="96"/>
      <c r="AL67" s="1"/>
      <c r="AM67" s="2"/>
      <c r="AN67" s="21"/>
      <c r="AO67" s="21"/>
      <c r="AP67" s="21"/>
      <c r="AQ67" s="21"/>
    </row>
    <row r="68" spans="1:43" ht="15.75" customHeight="1">
      <c r="A68" s="14">
        <v>6</v>
      </c>
      <c r="B68" s="15" t="s">
        <v>84</v>
      </c>
      <c r="C68" s="16">
        <v>6</v>
      </c>
      <c r="D68" s="26">
        <v>2010</v>
      </c>
      <c r="E68" s="26" t="s">
        <v>114</v>
      </c>
      <c r="F68" s="25">
        <v>-2.53E-2</v>
      </c>
      <c r="G68" s="18">
        <v>-4.7100000000000003E-2</v>
      </c>
      <c r="H68" s="18">
        <v>0.6976</v>
      </c>
      <c r="I68" s="18">
        <v>1.8230999999999999</v>
      </c>
      <c r="J68" s="18">
        <v>5.3199999999999997E-2</v>
      </c>
      <c r="K68" s="18">
        <v>0.54810000000000003</v>
      </c>
      <c r="L68" s="18">
        <v>0</v>
      </c>
      <c r="M68" s="24">
        <v>2</v>
      </c>
      <c r="N68" s="24">
        <v>2</v>
      </c>
      <c r="O68" s="24">
        <v>3</v>
      </c>
      <c r="P68" s="24">
        <v>2</v>
      </c>
      <c r="Q68" s="24">
        <v>2</v>
      </c>
      <c r="R68" s="24">
        <v>2</v>
      </c>
      <c r="S68" s="24">
        <v>3</v>
      </c>
      <c r="T68" s="24">
        <v>3</v>
      </c>
      <c r="U68" s="24">
        <v>2</v>
      </c>
      <c r="V68" s="24">
        <v>2</v>
      </c>
      <c r="W68" s="24">
        <v>2</v>
      </c>
      <c r="X68" s="70">
        <v>0.4375</v>
      </c>
      <c r="Y68" s="76"/>
      <c r="Z68" s="67">
        <v>0</v>
      </c>
      <c r="AA68" s="22">
        <v>1</v>
      </c>
      <c r="AB68" s="22">
        <v>1</v>
      </c>
      <c r="AC68" s="23">
        <v>12</v>
      </c>
      <c r="AD68" s="23">
        <v>12</v>
      </c>
      <c r="AE68" s="24"/>
      <c r="AF68" s="24"/>
      <c r="AG68" s="24">
        <v>1</v>
      </c>
      <c r="AH68" s="58">
        <v>0.9446</v>
      </c>
      <c r="AI68" s="59">
        <v>0.58199999999999996</v>
      </c>
      <c r="AJ68" s="104" t="s">
        <v>143</v>
      </c>
      <c r="AK68" s="96" t="s">
        <v>122</v>
      </c>
      <c r="AL68" s="1"/>
      <c r="AM68" s="2"/>
      <c r="AN68" s="21"/>
      <c r="AO68" s="21"/>
      <c r="AP68" s="21"/>
      <c r="AQ68" s="21"/>
    </row>
    <row r="69" spans="1:43" ht="15.75" customHeight="1">
      <c r="A69" s="14"/>
      <c r="B69" s="15" t="s">
        <v>84</v>
      </c>
      <c r="C69" s="16">
        <v>6</v>
      </c>
      <c r="D69" s="26">
        <v>2011</v>
      </c>
      <c r="E69" s="26"/>
      <c r="F69" s="25">
        <v>1.7500000000000002E-2</v>
      </c>
      <c r="G69" s="18">
        <v>2.8000000000000001E-2</v>
      </c>
      <c r="H69" s="18">
        <v>1.6296999999999999</v>
      </c>
      <c r="I69" s="18">
        <v>0.74299999999999999</v>
      </c>
      <c r="J69" s="18">
        <v>7.0000000000000007E-2</v>
      </c>
      <c r="K69" s="18">
        <v>0.61980000000000002</v>
      </c>
      <c r="L69" s="18">
        <v>8.2000000000000007E-3</v>
      </c>
      <c r="M69" s="24">
        <v>2</v>
      </c>
      <c r="N69" s="24">
        <v>2</v>
      </c>
      <c r="O69" s="24">
        <v>3</v>
      </c>
      <c r="P69" s="24">
        <v>2</v>
      </c>
      <c r="Q69" s="24">
        <v>1</v>
      </c>
      <c r="R69" s="24">
        <v>2</v>
      </c>
      <c r="S69" s="24">
        <v>2</v>
      </c>
      <c r="T69" s="24">
        <v>2</v>
      </c>
      <c r="U69" s="24">
        <v>1</v>
      </c>
      <c r="V69" s="24">
        <v>1</v>
      </c>
      <c r="W69" s="24">
        <v>2</v>
      </c>
      <c r="X69" s="70">
        <v>0.4375</v>
      </c>
      <c r="Y69" s="76"/>
      <c r="Z69" s="67">
        <v>0</v>
      </c>
      <c r="AA69" s="22">
        <v>1</v>
      </c>
      <c r="AB69" s="22">
        <v>1</v>
      </c>
      <c r="AC69" s="23">
        <v>10</v>
      </c>
      <c r="AD69" s="23">
        <v>10</v>
      </c>
      <c r="AE69" s="24"/>
      <c r="AF69" s="24"/>
      <c r="AG69" s="24">
        <v>1</v>
      </c>
      <c r="AH69" s="58">
        <v>0.93810000000000004</v>
      </c>
      <c r="AI69" s="59">
        <v>0.39760000000000001</v>
      </c>
      <c r="AJ69" s="104" t="s">
        <v>144</v>
      </c>
      <c r="AK69" s="96" t="s">
        <v>122</v>
      </c>
      <c r="AL69" s="1"/>
      <c r="AM69" s="2"/>
      <c r="AN69" s="21"/>
      <c r="AO69" s="21"/>
      <c r="AP69" s="21"/>
      <c r="AQ69" s="21"/>
    </row>
    <row r="70" spans="1:43" ht="15.75" customHeight="1">
      <c r="A70" s="14"/>
      <c r="B70" s="15" t="s">
        <v>84</v>
      </c>
      <c r="C70" s="16">
        <v>6</v>
      </c>
      <c r="D70" s="26">
        <v>2012</v>
      </c>
      <c r="E70" s="26"/>
      <c r="F70" s="25">
        <v>3.2899999999999999E-2</v>
      </c>
      <c r="G70" s="18">
        <v>7.7499999999999999E-2</v>
      </c>
      <c r="H70" s="18">
        <v>1.2387999999999999</v>
      </c>
      <c r="I70" s="18">
        <v>0.50760000000000005</v>
      </c>
      <c r="J70" s="18">
        <v>6.6699999999999995E-2</v>
      </c>
      <c r="K70" s="18">
        <v>0.32200000000000001</v>
      </c>
      <c r="L70" s="18">
        <v>1.9E-3</v>
      </c>
      <c r="M70" s="24">
        <v>1</v>
      </c>
      <c r="N70" s="24">
        <v>1</v>
      </c>
      <c r="O70" s="24">
        <v>2</v>
      </c>
      <c r="P70" s="24">
        <v>1</v>
      </c>
      <c r="Q70" s="24">
        <v>1</v>
      </c>
      <c r="R70" s="24">
        <v>1</v>
      </c>
      <c r="S70" s="24">
        <v>2</v>
      </c>
      <c r="T70" s="24">
        <v>2</v>
      </c>
      <c r="U70" s="24">
        <v>1</v>
      </c>
      <c r="V70" s="24">
        <v>1</v>
      </c>
      <c r="W70" s="24">
        <v>2</v>
      </c>
      <c r="X70" s="70">
        <v>0.53100000000000003</v>
      </c>
      <c r="Y70" s="76"/>
      <c r="Z70" s="67">
        <v>0</v>
      </c>
      <c r="AA70" s="22">
        <v>1</v>
      </c>
      <c r="AB70" s="22">
        <v>1</v>
      </c>
      <c r="AC70" s="23">
        <v>13</v>
      </c>
      <c r="AD70" s="23">
        <v>13</v>
      </c>
      <c r="AE70" s="24"/>
      <c r="AF70" s="24"/>
      <c r="AG70" s="24">
        <v>1</v>
      </c>
      <c r="AH70" s="58">
        <v>0.96209999999999996</v>
      </c>
      <c r="AI70" s="59">
        <v>0.49424223</v>
      </c>
      <c r="AJ70" s="104" t="s">
        <v>145</v>
      </c>
      <c r="AK70" s="96" t="s">
        <v>122</v>
      </c>
      <c r="AL70" s="1"/>
      <c r="AM70" s="2"/>
      <c r="AN70" s="21"/>
      <c r="AO70" s="21"/>
      <c r="AP70" s="21"/>
      <c r="AQ70" s="21"/>
    </row>
    <row r="71" spans="1:43" ht="15.75" customHeight="1">
      <c r="A71" s="14"/>
      <c r="B71" s="15" t="s">
        <v>84</v>
      </c>
      <c r="C71" s="16">
        <v>6</v>
      </c>
      <c r="D71" s="26">
        <v>2013</v>
      </c>
      <c r="E71" s="26"/>
      <c r="F71" s="25">
        <v>1.03E-2</v>
      </c>
      <c r="G71" s="25">
        <v>4.4400000000000002E-2</v>
      </c>
      <c r="H71" s="25">
        <v>0.90400000000000003</v>
      </c>
      <c r="I71" s="25">
        <v>0.81310000000000004</v>
      </c>
      <c r="J71" s="25">
        <v>4.9000000000000002E-2</v>
      </c>
      <c r="K71" s="25">
        <v>0.20830000000000001</v>
      </c>
      <c r="L71" s="25">
        <v>7.7000000000000002E-3</v>
      </c>
      <c r="M71" s="24">
        <v>1</v>
      </c>
      <c r="N71" s="24">
        <v>1</v>
      </c>
      <c r="O71" s="24">
        <v>1</v>
      </c>
      <c r="P71" s="24">
        <v>1</v>
      </c>
      <c r="Q71" s="24">
        <v>1</v>
      </c>
      <c r="R71" s="24">
        <v>2</v>
      </c>
      <c r="S71" s="24">
        <v>2</v>
      </c>
      <c r="T71" s="24">
        <v>2</v>
      </c>
      <c r="U71" s="24">
        <v>1</v>
      </c>
      <c r="V71" s="24">
        <v>1</v>
      </c>
      <c r="W71" s="24">
        <v>2</v>
      </c>
      <c r="X71" s="27">
        <v>0.69387755102040816</v>
      </c>
      <c r="Y71" s="28">
        <v>6.7566026980809421E-2</v>
      </c>
      <c r="Z71" s="29">
        <v>1665300000</v>
      </c>
      <c r="AA71" s="22">
        <v>1</v>
      </c>
      <c r="AB71" s="22">
        <v>1</v>
      </c>
      <c r="AC71" s="23">
        <v>17</v>
      </c>
      <c r="AD71" s="23">
        <v>17</v>
      </c>
      <c r="AE71" s="24"/>
      <c r="AF71" s="24"/>
      <c r="AG71" s="24">
        <v>1</v>
      </c>
      <c r="AH71" s="58">
        <v>0.96479999999999999</v>
      </c>
      <c r="AI71" s="59">
        <v>0.52289271000000004</v>
      </c>
      <c r="AJ71" s="104" t="s">
        <v>146</v>
      </c>
      <c r="AK71" s="96"/>
      <c r="AL71" s="1"/>
      <c r="AM71" s="2"/>
      <c r="AN71" s="21"/>
      <c r="AO71" s="21"/>
      <c r="AP71" s="21"/>
      <c r="AQ71" s="21"/>
    </row>
    <row r="72" spans="1:43" ht="15.75" customHeight="1">
      <c r="A72" s="14"/>
      <c r="B72" s="15" t="s">
        <v>84</v>
      </c>
      <c r="C72" s="16">
        <v>6</v>
      </c>
      <c r="D72" s="26">
        <v>2014</v>
      </c>
      <c r="E72" s="26"/>
      <c r="F72" s="40" t="s">
        <v>85</v>
      </c>
      <c r="G72" s="32">
        <v>7.6600000000000001E-2</v>
      </c>
      <c r="H72" s="40" t="s">
        <v>86</v>
      </c>
      <c r="I72" s="35">
        <v>0.68469999999999998</v>
      </c>
      <c r="J72" s="35">
        <v>1.0059999999999999E-2</v>
      </c>
      <c r="K72" s="40" t="s">
        <v>87</v>
      </c>
      <c r="L72" s="35">
        <v>2.8999999999999998E-3</v>
      </c>
      <c r="M72" s="23">
        <v>1</v>
      </c>
      <c r="N72" s="23">
        <v>1</v>
      </c>
      <c r="O72" s="23">
        <v>1</v>
      </c>
      <c r="P72" s="23">
        <v>1</v>
      </c>
      <c r="Q72" s="23">
        <v>2</v>
      </c>
      <c r="R72" s="23">
        <v>2</v>
      </c>
      <c r="S72" s="23">
        <v>2</v>
      </c>
      <c r="T72" s="23">
        <v>2</v>
      </c>
      <c r="U72" s="23">
        <v>1</v>
      </c>
      <c r="V72" s="23">
        <v>1</v>
      </c>
      <c r="W72" s="23">
        <v>2</v>
      </c>
      <c r="X72" s="27">
        <v>0.69387755102040816</v>
      </c>
      <c r="Y72" s="41">
        <v>0.08</v>
      </c>
      <c r="Z72" s="29">
        <v>2454654000</v>
      </c>
      <c r="AA72" s="34">
        <v>1</v>
      </c>
      <c r="AB72" s="34">
        <v>1</v>
      </c>
      <c r="AC72" s="24">
        <v>16</v>
      </c>
      <c r="AD72" s="24">
        <v>16</v>
      </c>
      <c r="AE72" s="24"/>
      <c r="AF72" s="24"/>
      <c r="AG72" s="24">
        <v>1</v>
      </c>
      <c r="AH72" s="57">
        <v>0.94059999999999999</v>
      </c>
      <c r="AI72" s="57">
        <v>0.8669</v>
      </c>
      <c r="AJ72" s="104">
        <v>4.0090000000000001E-2</v>
      </c>
      <c r="AK72" s="96"/>
      <c r="AL72" s="1"/>
      <c r="AM72" s="2"/>
      <c r="AN72" s="21"/>
      <c r="AO72" s="21"/>
      <c r="AP72" s="21"/>
      <c r="AQ72" s="21"/>
    </row>
    <row r="73" spans="1:43" ht="15.75" customHeight="1">
      <c r="A73" s="14"/>
      <c r="B73" s="15" t="s">
        <v>84</v>
      </c>
      <c r="C73" s="16">
        <v>6</v>
      </c>
      <c r="D73" s="26">
        <v>2015</v>
      </c>
      <c r="E73" s="26"/>
      <c r="F73" s="35">
        <v>1.14E-2</v>
      </c>
      <c r="G73" s="32">
        <v>4.9399999999999999E-2</v>
      </c>
      <c r="H73" s="40" t="s">
        <v>88</v>
      </c>
      <c r="I73" s="35">
        <v>0.89290000000000003</v>
      </c>
      <c r="J73" s="35">
        <v>5.4300000000000001E-2</v>
      </c>
      <c r="K73" s="40" t="s">
        <v>89</v>
      </c>
      <c r="L73" s="35">
        <v>1.9400000000000001E-2</v>
      </c>
      <c r="M73" s="23">
        <v>2</v>
      </c>
      <c r="N73" s="23">
        <v>2</v>
      </c>
      <c r="O73" s="23">
        <v>2</v>
      </c>
      <c r="P73" s="23">
        <v>2</v>
      </c>
      <c r="Q73" s="23">
        <v>2</v>
      </c>
      <c r="R73" s="23">
        <v>2</v>
      </c>
      <c r="S73" s="23">
        <v>2</v>
      </c>
      <c r="T73" s="23">
        <v>2</v>
      </c>
      <c r="U73" s="23">
        <v>2</v>
      </c>
      <c r="V73" s="23">
        <v>2</v>
      </c>
      <c r="W73" s="23">
        <v>2</v>
      </c>
      <c r="X73" s="117" t="s">
        <v>178</v>
      </c>
      <c r="Y73" s="41">
        <v>0.1</v>
      </c>
      <c r="Z73" s="29">
        <v>1933000000</v>
      </c>
      <c r="AA73" s="34">
        <v>1</v>
      </c>
      <c r="AB73" s="34">
        <v>1</v>
      </c>
      <c r="AC73" s="24">
        <v>16</v>
      </c>
      <c r="AD73" s="24">
        <v>16</v>
      </c>
      <c r="AE73" s="24"/>
      <c r="AF73" s="24"/>
      <c r="AG73" s="24">
        <v>1</v>
      </c>
      <c r="AH73" s="57">
        <v>0.96830000000000005</v>
      </c>
      <c r="AI73" s="57">
        <v>0.90559999999999996</v>
      </c>
      <c r="AJ73" s="104">
        <v>5.5109999999999999E-2</v>
      </c>
      <c r="AK73" s="96"/>
      <c r="AL73" s="1"/>
      <c r="AM73" s="2"/>
      <c r="AN73" s="21"/>
      <c r="AO73" s="21"/>
      <c r="AP73" s="21"/>
      <c r="AQ73" s="21"/>
    </row>
    <row r="74" spans="1:43" ht="15.75" customHeight="1">
      <c r="A74" s="14"/>
      <c r="B74" s="15" t="s">
        <v>84</v>
      </c>
      <c r="C74" s="16">
        <v>6</v>
      </c>
      <c r="D74" s="26">
        <v>2016</v>
      </c>
      <c r="E74" s="26"/>
      <c r="F74" s="25">
        <v>3.7000000000000002E-3</v>
      </c>
      <c r="G74" s="32">
        <v>1.7600000000000001E-2</v>
      </c>
      <c r="H74" s="25">
        <v>0.91990000000000005</v>
      </c>
      <c r="I74" s="25">
        <v>0.9617</v>
      </c>
      <c r="J74" s="99">
        <v>2.155E-2</v>
      </c>
      <c r="K74" s="25">
        <v>0.1817</v>
      </c>
      <c r="L74" s="25">
        <v>2.2599999999999999E-2</v>
      </c>
      <c r="M74" s="23">
        <v>2</v>
      </c>
      <c r="N74" s="23">
        <v>2</v>
      </c>
      <c r="O74" s="23">
        <v>2</v>
      </c>
      <c r="P74" s="23">
        <v>2</v>
      </c>
      <c r="Q74" s="23">
        <v>2</v>
      </c>
      <c r="R74" s="23">
        <v>2</v>
      </c>
      <c r="S74" s="23">
        <v>2</v>
      </c>
      <c r="T74" s="23">
        <v>2</v>
      </c>
      <c r="U74" s="23">
        <v>2</v>
      </c>
      <c r="V74" s="23">
        <v>2</v>
      </c>
      <c r="W74" s="23">
        <v>2</v>
      </c>
      <c r="X74" s="118" t="s">
        <v>180</v>
      </c>
      <c r="Y74" s="28">
        <v>7.9143051969613035E-2</v>
      </c>
      <c r="Z74" s="29">
        <v>712000000</v>
      </c>
      <c r="AA74" s="22">
        <v>1</v>
      </c>
      <c r="AB74" s="22">
        <v>1</v>
      </c>
      <c r="AC74" s="23">
        <v>21</v>
      </c>
      <c r="AD74" s="23">
        <v>21</v>
      </c>
      <c r="AE74" s="24"/>
      <c r="AF74" s="24"/>
      <c r="AG74" s="24">
        <v>1</v>
      </c>
      <c r="AH74" s="57">
        <v>0.96719999999999995</v>
      </c>
      <c r="AI74" s="57">
        <v>0.81759999999999999</v>
      </c>
      <c r="AJ74" s="104">
        <v>7.7009999999999995E-2</v>
      </c>
      <c r="AK74" s="96"/>
      <c r="AL74" s="1"/>
      <c r="AM74" s="2"/>
      <c r="AN74" s="21"/>
      <c r="AO74" s="21"/>
      <c r="AP74" s="21"/>
      <c r="AQ74" s="21"/>
    </row>
    <row r="75" spans="1:43" ht="15.75" customHeight="1">
      <c r="A75" s="14"/>
      <c r="B75" s="15" t="s">
        <v>84</v>
      </c>
      <c r="C75" s="16">
        <v>6</v>
      </c>
      <c r="D75" s="26">
        <v>2017</v>
      </c>
      <c r="E75" s="26"/>
      <c r="F75" s="25">
        <v>-0.1077</v>
      </c>
      <c r="G75" s="32">
        <v>-0.94010000000000005</v>
      </c>
      <c r="H75" s="25">
        <v>0.86950000000000005</v>
      </c>
      <c r="I75" s="25">
        <v>2.1739999999999999</v>
      </c>
      <c r="J75" s="99">
        <v>1.8890000000000001E-2</v>
      </c>
      <c r="K75" s="25">
        <v>0.11509999999999999</v>
      </c>
      <c r="L75" s="25">
        <v>3.7999999999999999E-2</v>
      </c>
      <c r="M75" s="23">
        <v>3</v>
      </c>
      <c r="N75" s="23">
        <v>3</v>
      </c>
      <c r="O75" s="23">
        <v>3</v>
      </c>
      <c r="P75" s="23">
        <v>3</v>
      </c>
      <c r="Q75" s="23">
        <v>3</v>
      </c>
      <c r="R75" s="23">
        <v>3</v>
      </c>
      <c r="S75" s="23">
        <v>3</v>
      </c>
      <c r="T75" s="23">
        <v>3</v>
      </c>
      <c r="U75" s="23">
        <v>3</v>
      </c>
      <c r="V75" s="23">
        <v>3</v>
      </c>
      <c r="W75" s="23">
        <v>3</v>
      </c>
      <c r="X75" s="118" t="s">
        <v>184</v>
      </c>
      <c r="Y75" s="28">
        <v>9.1943645323622203E-2</v>
      </c>
      <c r="Z75" s="29">
        <v>711570000</v>
      </c>
      <c r="AA75" s="22">
        <v>1</v>
      </c>
      <c r="AB75" s="22">
        <v>1</v>
      </c>
      <c r="AC75" s="23">
        <v>15</v>
      </c>
      <c r="AD75" s="23">
        <v>18</v>
      </c>
      <c r="AE75" s="24"/>
      <c r="AF75" s="24"/>
      <c r="AG75" s="24">
        <v>1</v>
      </c>
      <c r="AH75" s="57">
        <v>0.9738</v>
      </c>
      <c r="AI75" s="57">
        <v>0.76524000000000003</v>
      </c>
      <c r="AJ75" s="104">
        <v>0.11101</v>
      </c>
      <c r="AK75" s="96"/>
      <c r="AL75" s="1"/>
      <c r="AM75" s="2"/>
      <c r="AN75" s="21"/>
      <c r="AO75" s="21"/>
      <c r="AP75" s="21"/>
      <c r="AQ75" s="21"/>
    </row>
    <row r="76" spans="1:43" ht="15.75" customHeight="1">
      <c r="A76" s="14"/>
      <c r="B76" s="15" t="s">
        <v>84</v>
      </c>
      <c r="C76" s="16">
        <v>6</v>
      </c>
      <c r="D76" s="26">
        <v>2018</v>
      </c>
      <c r="E76" s="26"/>
      <c r="F76" s="25">
        <v>2.5999999999999999E-3</v>
      </c>
      <c r="G76" s="32">
        <v>1.4500000000000001E-2</v>
      </c>
      <c r="H76" s="25">
        <v>0.88819999999999999</v>
      </c>
      <c r="I76" s="25">
        <v>0.99570000000000003</v>
      </c>
      <c r="J76" s="99">
        <v>9.6240000000000006E-2</v>
      </c>
      <c r="K76" s="25">
        <v>0.23150000000000001</v>
      </c>
      <c r="L76" s="25">
        <v>3.8399999999999997E-2</v>
      </c>
      <c r="M76" s="23">
        <v>2</v>
      </c>
      <c r="N76" s="23">
        <v>2</v>
      </c>
      <c r="O76" s="23">
        <v>2</v>
      </c>
      <c r="P76" s="23">
        <v>2</v>
      </c>
      <c r="Q76" s="23">
        <v>2</v>
      </c>
      <c r="R76" s="23">
        <v>2</v>
      </c>
      <c r="S76" s="23">
        <v>2</v>
      </c>
      <c r="T76" s="23">
        <v>2</v>
      </c>
      <c r="U76" s="23">
        <v>2</v>
      </c>
      <c r="V76" s="23">
        <v>2</v>
      </c>
      <c r="W76" s="23">
        <v>2</v>
      </c>
      <c r="X76" s="118" t="s">
        <v>176</v>
      </c>
      <c r="Y76" s="28">
        <v>6.827705391983499E-2</v>
      </c>
      <c r="Z76" s="29">
        <v>535309694</v>
      </c>
      <c r="AA76" s="34">
        <v>1</v>
      </c>
      <c r="AB76" s="34">
        <v>1</v>
      </c>
      <c r="AC76" s="23">
        <v>9</v>
      </c>
      <c r="AD76" s="23">
        <v>9</v>
      </c>
      <c r="AE76" s="24"/>
      <c r="AF76" s="24"/>
      <c r="AG76" s="24">
        <v>1</v>
      </c>
      <c r="AH76" s="57">
        <v>0.99990000000000001</v>
      </c>
      <c r="AI76" s="57">
        <v>0.88500000000000001</v>
      </c>
      <c r="AJ76" s="104">
        <v>5.0869999999999999E-2</v>
      </c>
      <c r="AK76" s="96" t="s">
        <v>122</v>
      </c>
      <c r="AL76" s="1"/>
      <c r="AM76" s="2"/>
      <c r="AN76" s="21"/>
      <c r="AO76" s="21"/>
      <c r="AP76" s="21"/>
      <c r="AQ76" s="21"/>
    </row>
    <row r="77" spans="1:43" ht="15.75" customHeight="1">
      <c r="A77" s="14"/>
      <c r="B77" s="15" t="s">
        <v>84</v>
      </c>
      <c r="C77" s="16">
        <v>6</v>
      </c>
      <c r="D77" s="26">
        <v>2019</v>
      </c>
      <c r="E77" s="26"/>
      <c r="F77" s="25">
        <v>2.5000000000000001E-3</v>
      </c>
      <c r="G77" s="32">
        <v>1.0800000000000001E-2</v>
      </c>
      <c r="H77" s="25">
        <v>0.95720000000000005</v>
      </c>
      <c r="I77" s="25">
        <v>0.97740000000000005</v>
      </c>
      <c r="J77" s="32">
        <v>1.46E-2</v>
      </c>
      <c r="K77" s="25">
        <v>0.14460000000000001</v>
      </c>
      <c r="L77" s="25">
        <v>2.8000000000000001E-2</v>
      </c>
      <c r="M77" s="23">
        <v>2</v>
      </c>
      <c r="N77" s="23">
        <v>2</v>
      </c>
      <c r="O77" s="23">
        <v>2</v>
      </c>
      <c r="P77" s="23">
        <v>2</v>
      </c>
      <c r="Q77" s="23">
        <v>2</v>
      </c>
      <c r="R77" s="23">
        <v>2</v>
      </c>
      <c r="S77" s="23">
        <v>2</v>
      </c>
      <c r="T77" s="23">
        <v>2</v>
      </c>
      <c r="U77" s="23">
        <v>2</v>
      </c>
      <c r="V77" s="23">
        <v>2</v>
      </c>
      <c r="W77" s="23">
        <v>2</v>
      </c>
      <c r="X77" s="33">
        <v>0.77</v>
      </c>
      <c r="Y77" s="28">
        <v>5.949806143684909E-2</v>
      </c>
      <c r="Z77" s="29">
        <v>1118945000</v>
      </c>
      <c r="AA77" s="22">
        <v>1</v>
      </c>
      <c r="AB77" s="22">
        <v>1</v>
      </c>
      <c r="AC77" s="23">
        <v>11</v>
      </c>
      <c r="AD77" s="23">
        <v>12</v>
      </c>
      <c r="AE77" s="24"/>
      <c r="AF77" s="24"/>
      <c r="AG77" s="24">
        <v>1</v>
      </c>
      <c r="AH77" s="57">
        <v>0.97740000000000005</v>
      </c>
      <c r="AI77" s="57">
        <v>0.92780200000000002</v>
      </c>
      <c r="AJ77" s="104" t="s">
        <v>147</v>
      </c>
      <c r="AK77" s="96"/>
      <c r="AL77" s="1"/>
      <c r="AM77" s="2"/>
      <c r="AN77" s="21"/>
      <c r="AO77" s="21"/>
      <c r="AP77" s="21"/>
      <c r="AQ77" s="21"/>
    </row>
    <row r="78" spans="1:43" ht="15.75" hidden="1" customHeight="1">
      <c r="A78" s="14"/>
      <c r="B78" s="15" t="s">
        <v>84</v>
      </c>
      <c r="C78" s="16">
        <v>6</v>
      </c>
      <c r="D78" s="26">
        <v>2020</v>
      </c>
      <c r="E78" s="26"/>
      <c r="F78" s="25">
        <v>5.9999999999999995E-4</v>
      </c>
      <c r="G78" s="25"/>
      <c r="H78" s="25">
        <v>1.1171</v>
      </c>
      <c r="I78" s="25">
        <v>0.99419999999999997</v>
      </c>
      <c r="J78" s="25"/>
      <c r="K78" s="25">
        <v>0.31430000000000002</v>
      </c>
      <c r="L78" s="25">
        <v>2.4500000000000001E-2</v>
      </c>
      <c r="M78" s="24">
        <v>2</v>
      </c>
      <c r="N78" s="20"/>
      <c r="O78" s="20"/>
      <c r="P78" s="20"/>
      <c r="Q78" s="20"/>
      <c r="R78" s="20"/>
      <c r="S78" s="20"/>
      <c r="T78" s="20"/>
      <c r="U78" s="20"/>
      <c r="V78" s="20"/>
      <c r="W78" s="20"/>
      <c r="X78" s="27">
        <v>0.73469387755102045</v>
      </c>
      <c r="Y78" s="28">
        <v>6.3269935574702077E-2</v>
      </c>
      <c r="Z78" s="29"/>
      <c r="AA78" s="34"/>
      <c r="AB78" s="34"/>
      <c r="AC78" s="24"/>
      <c r="AD78" s="24"/>
      <c r="AE78" s="24"/>
      <c r="AF78" s="24"/>
      <c r="AG78" s="24"/>
      <c r="AH78" s="59"/>
      <c r="AI78" s="59"/>
      <c r="AJ78" s="104" t="e">
        <f>#REF!</f>
        <v>#REF!</v>
      </c>
      <c r="AK78" s="96"/>
      <c r="AL78" s="1"/>
      <c r="AM78" s="2"/>
      <c r="AN78" s="21"/>
      <c r="AO78" s="21"/>
      <c r="AP78" s="21"/>
      <c r="AQ78" s="21"/>
    </row>
    <row r="79" spans="1:43" ht="15.75" customHeight="1">
      <c r="A79" s="14">
        <v>7</v>
      </c>
      <c r="B79" s="15" t="s">
        <v>90</v>
      </c>
      <c r="C79" s="16">
        <v>7</v>
      </c>
      <c r="D79" s="26">
        <v>2010</v>
      </c>
      <c r="E79" s="26" t="s">
        <v>115</v>
      </c>
      <c r="F79" s="18">
        <v>7.1999999999999998E-3</v>
      </c>
      <c r="G79" s="18">
        <v>1.6199999999999999E-2</v>
      </c>
      <c r="H79" s="18">
        <v>1.2131000000000001</v>
      </c>
      <c r="I79" s="26" t="s">
        <v>91</v>
      </c>
      <c r="J79" s="25">
        <v>8.2900000000000001E-2</v>
      </c>
      <c r="K79" s="25">
        <v>0.31390000000000001</v>
      </c>
      <c r="L79" s="25">
        <v>1.04E-2</v>
      </c>
      <c r="M79" s="76"/>
      <c r="N79" s="87"/>
      <c r="O79" s="87"/>
      <c r="P79" s="87"/>
      <c r="Q79" s="87"/>
      <c r="R79" s="87"/>
      <c r="S79" s="87"/>
      <c r="T79" s="87"/>
      <c r="U79" s="87"/>
      <c r="V79" s="87"/>
      <c r="W79" s="87"/>
      <c r="X79" s="70">
        <v>0.52083299999999999</v>
      </c>
      <c r="Y79" s="28"/>
      <c r="Z79" s="29">
        <v>500000000</v>
      </c>
      <c r="AA79" s="34">
        <v>1</v>
      </c>
      <c r="AB79" s="34">
        <v>1</v>
      </c>
      <c r="AC79" s="76"/>
      <c r="AD79" s="76"/>
      <c r="AE79" s="76"/>
      <c r="AF79" s="76"/>
      <c r="AG79" s="76"/>
      <c r="AH79" s="58">
        <v>0.99960000000000004</v>
      </c>
      <c r="AI79" s="58">
        <v>9.4700000000000006E-2</v>
      </c>
      <c r="AJ79" s="104" t="s">
        <v>156</v>
      </c>
      <c r="AK79" s="96"/>
      <c r="AL79" s="1"/>
      <c r="AM79" s="2"/>
      <c r="AN79" s="21"/>
      <c r="AO79" s="21"/>
      <c r="AP79" s="21"/>
      <c r="AQ79" s="21"/>
    </row>
    <row r="80" spans="1:43" ht="15.75" customHeight="1">
      <c r="A80" s="14"/>
      <c r="B80" s="15" t="s">
        <v>90</v>
      </c>
      <c r="C80" s="16">
        <v>7</v>
      </c>
      <c r="D80" s="26">
        <v>2011</v>
      </c>
      <c r="E80" s="26"/>
      <c r="F80" s="25">
        <v>1.23E-2</v>
      </c>
      <c r="G80" s="25">
        <v>3.6499999999999998E-2</v>
      </c>
      <c r="H80" s="25">
        <v>0.79610000000000003</v>
      </c>
      <c r="I80" s="26" t="s">
        <v>92</v>
      </c>
      <c r="J80" s="25">
        <v>7.8399999999999997E-2</v>
      </c>
      <c r="K80" s="26" t="s">
        <v>93</v>
      </c>
      <c r="L80" s="25">
        <v>7.0000000000000001E-3</v>
      </c>
      <c r="M80" s="76"/>
      <c r="N80" s="87"/>
      <c r="O80" s="87"/>
      <c r="P80" s="87"/>
      <c r="Q80" s="87"/>
      <c r="R80" s="87"/>
      <c r="S80" s="87"/>
      <c r="T80" s="87"/>
      <c r="U80" s="87"/>
      <c r="V80" s="87"/>
      <c r="W80" s="87"/>
      <c r="X80" s="70">
        <v>0.75</v>
      </c>
      <c r="Y80" s="28"/>
      <c r="Z80" s="29">
        <v>100000000</v>
      </c>
      <c r="AA80" s="34">
        <v>1</v>
      </c>
      <c r="AB80" s="34">
        <v>1</v>
      </c>
      <c r="AC80" s="76"/>
      <c r="AD80" s="76"/>
      <c r="AE80" s="76"/>
      <c r="AF80" s="76"/>
      <c r="AG80" s="76"/>
      <c r="AH80" s="58">
        <v>0.99990000000000001</v>
      </c>
      <c r="AI80" s="58">
        <v>0.31940000000000002</v>
      </c>
      <c r="AJ80" s="104" t="s">
        <v>148</v>
      </c>
      <c r="AK80" s="96"/>
      <c r="AL80" s="1"/>
      <c r="AM80" s="2"/>
      <c r="AN80" s="21"/>
      <c r="AO80" s="21"/>
      <c r="AP80" s="21"/>
      <c r="AQ80" s="21"/>
    </row>
    <row r="81" spans="1:43" ht="15.75" customHeight="1">
      <c r="A81" s="14"/>
      <c r="B81" s="15" t="s">
        <v>90</v>
      </c>
      <c r="C81" s="16">
        <v>7</v>
      </c>
      <c r="D81" s="26">
        <v>2012</v>
      </c>
      <c r="E81" s="26"/>
      <c r="F81" s="25">
        <v>6.7000000000000002E-3</v>
      </c>
      <c r="G81" s="25">
        <v>-3.2599999999999997E-2</v>
      </c>
      <c r="H81" s="25">
        <v>0.87990000000000002</v>
      </c>
      <c r="I81" s="26" t="s">
        <v>94</v>
      </c>
      <c r="J81" s="25">
        <v>7.4099999999999999E-2</v>
      </c>
      <c r="K81" s="26" t="s">
        <v>95</v>
      </c>
      <c r="L81" s="26" t="s">
        <v>96</v>
      </c>
      <c r="M81" s="24">
        <v>2</v>
      </c>
      <c r="N81" s="24">
        <v>3</v>
      </c>
      <c r="O81" s="24">
        <v>3</v>
      </c>
      <c r="P81" s="24">
        <v>2</v>
      </c>
      <c r="Q81" s="24">
        <v>2</v>
      </c>
      <c r="R81" s="24">
        <v>3</v>
      </c>
      <c r="S81" s="24">
        <v>2</v>
      </c>
      <c r="T81" s="24">
        <v>2</v>
      </c>
      <c r="U81" s="24">
        <v>2</v>
      </c>
      <c r="V81" s="24">
        <v>2</v>
      </c>
      <c r="W81" s="24">
        <v>3</v>
      </c>
      <c r="X81" s="70">
        <v>0.75</v>
      </c>
      <c r="Y81" s="28"/>
      <c r="Z81" s="29">
        <v>700000000</v>
      </c>
      <c r="AA81" s="34">
        <v>1</v>
      </c>
      <c r="AB81" s="34">
        <v>1</v>
      </c>
      <c r="AC81" s="24">
        <v>9</v>
      </c>
      <c r="AD81" s="24">
        <v>9</v>
      </c>
      <c r="AE81" s="24">
        <v>9</v>
      </c>
      <c r="AF81" s="24">
        <v>9</v>
      </c>
      <c r="AG81" s="24">
        <v>1</v>
      </c>
      <c r="AH81" s="58">
        <v>0.99990000000000001</v>
      </c>
      <c r="AI81" s="58">
        <v>1.83E-2</v>
      </c>
      <c r="AJ81" s="104">
        <v>-4.8899999999999999E-2</v>
      </c>
      <c r="AK81" s="96"/>
      <c r="AL81" s="1"/>
      <c r="AM81" s="2"/>
      <c r="AN81" s="21"/>
      <c r="AO81" s="21"/>
      <c r="AP81" s="21"/>
      <c r="AQ81" s="21"/>
    </row>
    <row r="82" spans="1:43" ht="15.75" customHeight="1">
      <c r="A82" s="14"/>
      <c r="B82" s="15" t="s">
        <v>90</v>
      </c>
      <c r="C82" s="16">
        <v>7</v>
      </c>
      <c r="D82" s="26">
        <v>2013</v>
      </c>
      <c r="E82" s="26"/>
      <c r="F82" s="25">
        <v>9.1000000000000004E-3</v>
      </c>
      <c r="G82" s="25">
        <v>4.65E-2</v>
      </c>
      <c r="H82" s="25">
        <v>0.97399999999999998</v>
      </c>
      <c r="I82" s="25">
        <v>0.85760000000000003</v>
      </c>
      <c r="J82" s="25">
        <v>6.6500000000000004E-2</v>
      </c>
      <c r="K82" s="25">
        <v>0.1799</v>
      </c>
      <c r="L82" s="25">
        <v>1.8599999999999998E-2</v>
      </c>
      <c r="M82" s="24">
        <v>1</v>
      </c>
      <c r="N82" s="24">
        <v>2</v>
      </c>
      <c r="O82" s="24">
        <v>1</v>
      </c>
      <c r="P82" s="24">
        <v>1</v>
      </c>
      <c r="Q82" s="24">
        <v>1</v>
      </c>
      <c r="R82" s="24">
        <v>3</v>
      </c>
      <c r="S82" s="24">
        <v>2</v>
      </c>
      <c r="T82" s="24">
        <v>1</v>
      </c>
      <c r="U82" s="24">
        <v>1</v>
      </c>
      <c r="V82" s="24">
        <v>2</v>
      </c>
      <c r="W82" s="24">
        <v>3</v>
      </c>
      <c r="X82" s="70">
        <v>0.79166669999999995</v>
      </c>
      <c r="Y82" s="28"/>
      <c r="Z82" s="29">
        <v>245000000</v>
      </c>
      <c r="AA82" s="34">
        <v>1</v>
      </c>
      <c r="AB82" s="34">
        <v>1</v>
      </c>
      <c r="AC82" s="24">
        <v>20</v>
      </c>
      <c r="AD82" s="24">
        <v>18</v>
      </c>
      <c r="AE82" s="24">
        <v>16</v>
      </c>
      <c r="AF82" s="24"/>
      <c r="AG82" s="24">
        <v>1</v>
      </c>
      <c r="AH82" s="58">
        <v>0.99990000000000001</v>
      </c>
      <c r="AI82" s="62">
        <v>0.54830000000000001</v>
      </c>
      <c r="AJ82" s="104" t="s">
        <v>149</v>
      </c>
      <c r="AK82" s="96"/>
      <c r="AL82" s="1"/>
      <c r="AM82" s="2"/>
      <c r="AN82" s="21"/>
      <c r="AO82" s="21"/>
      <c r="AP82" s="21"/>
      <c r="AQ82" s="21"/>
    </row>
    <row r="83" spans="1:43" ht="15.75" customHeight="1">
      <c r="A83" s="14"/>
      <c r="B83" s="15" t="s">
        <v>90</v>
      </c>
      <c r="C83" s="16">
        <v>7</v>
      </c>
      <c r="D83" s="26">
        <v>2014</v>
      </c>
      <c r="E83" s="26"/>
      <c r="F83" s="25">
        <v>7.1999999999999998E-3</v>
      </c>
      <c r="G83" s="32">
        <v>3.73E-2</v>
      </c>
      <c r="H83" s="25">
        <v>0.84019999999999995</v>
      </c>
      <c r="I83" s="25">
        <v>0.91010000000000002</v>
      </c>
      <c r="J83" s="32">
        <v>8.3400000000000002E-2</v>
      </c>
      <c r="K83" s="25">
        <v>0.1578</v>
      </c>
      <c r="L83" s="25">
        <v>5.8400000000000001E-2</v>
      </c>
      <c r="M83" s="23">
        <v>2</v>
      </c>
      <c r="N83" s="23">
        <v>2</v>
      </c>
      <c r="O83" s="23">
        <v>2</v>
      </c>
      <c r="P83" s="23">
        <v>2</v>
      </c>
      <c r="Q83" s="23">
        <v>2</v>
      </c>
      <c r="R83" s="23">
        <v>2</v>
      </c>
      <c r="S83" s="23">
        <v>2</v>
      </c>
      <c r="T83" s="23">
        <v>2</v>
      </c>
      <c r="U83" s="23">
        <v>2</v>
      </c>
      <c r="V83" s="23">
        <v>2</v>
      </c>
      <c r="W83" s="23">
        <v>2</v>
      </c>
      <c r="X83" s="27">
        <v>0.81632653061224492</v>
      </c>
      <c r="Y83" s="28">
        <v>9.7341621087954883E-2</v>
      </c>
      <c r="Z83" s="29">
        <v>230000000</v>
      </c>
      <c r="AA83" s="34">
        <v>1</v>
      </c>
      <c r="AB83" s="34">
        <v>1</v>
      </c>
      <c r="AC83" s="24">
        <v>8</v>
      </c>
      <c r="AD83" s="24">
        <v>8</v>
      </c>
      <c r="AE83" s="24">
        <v>5</v>
      </c>
      <c r="AF83" s="24"/>
      <c r="AG83" s="24">
        <v>1</v>
      </c>
      <c r="AH83" s="57">
        <v>0.99970000000000003</v>
      </c>
      <c r="AI83" s="57">
        <v>0.22320000000000001</v>
      </c>
      <c r="AJ83" s="104" t="s">
        <v>150</v>
      </c>
      <c r="AK83" s="96"/>
      <c r="AL83" s="1"/>
      <c r="AM83" s="2"/>
      <c r="AN83" s="21"/>
      <c r="AO83" s="21"/>
      <c r="AP83" s="21"/>
      <c r="AQ83" s="21"/>
    </row>
    <row r="84" spans="1:43" ht="15.75" customHeight="1">
      <c r="A84" s="14"/>
      <c r="B84" s="15" t="s">
        <v>90</v>
      </c>
      <c r="C84" s="16">
        <v>7</v>
      </c>
      <c r="D84" s="26">
        <v>2015</v>
      </c>
      <c r="E84" s="26"/>
      <c r="F84" s="25">
        <v>2.5000000000000001E-3</v>
      </c>
      <c r="G84" s="32">
        <v>9.1999999999999998E-3</v>
      </c>
      <c r="H84" s="25">
        <v>1.0475000000000001</v>
      </c>
      <c r="I84" s="25">
        <v>0.96940000000000004</v>
      </c>
      <c r="J84" s="35">
        <v>3.6080000000000001E-2</v>
      </c>
      <c r="K84" s="25">
        <v>0.2253</v>
      </c>
      <c r="L84" s="25">
        <v>6.93E-2</v>
      </c>
      <c r="M84" s="23">
        <v>3</v>
      </c>
      <c r="N84" s="23">
        <v>3</v>
      </c>
      <c r="O84" s="23">
        <v>3</v>
      </c>
      <c r="P84" s="23">
        <v>3</v>
      </c>
      <c r="Q84" s="23">
        <v>3</v>
      </c>
      <c r="R84" s="23">
        <v>3</v>
      </c>
      <c r="S84" s="23">
        <v>3</v>
      </c>
      <c r="T84" s="23">
        <v>3</v>
      </c>
      <c r="U84" s="23">
        <v>3</v>
      </c>
      <c r="V84" s="23">
        <v>3</v>
      </c>
      <c r="W84" s="23">
        <v>3</v>
      </c>
      <c r="X84" s="27">
        <v>0.81632653061224492</v>
      </c>
      <c r="Y84" s="28">
        <v>0.11310665304754715</v>
      </c>
      <c r="Z84" s="67">
        <v>181566000</v>
      </c>
      <c r="AA84" s="34">
        <v>1</v>
      </c>
      <c r="AB84" s="34">
        <v>1</v>
      </c>
      <c r="AC84" s="24">
        <v>6</v>
      </c>
      <c r="AD84" s="24">
        <v>6</v>
      </c>
      <c r="AE84" s="24">
        <v>6</v>
      </c>
      <c r="AF84" s="24"/>
      <c r="AG84" s="24">
        <v>1</v>
      </c>
      <c r="AH84" s="57">
        <v>0.99990000000000001</v>
      </c>
      <c r="AI84" s="57">
        <v>0.19470000000000001</v>
      </c>
      <c r="AJ84" s="104" t="s">
        <v>151</v>
      </c>
      <c r="AK84" s="96"/>
      <c r="AL84" s="1"/>
      <c r="AM84" s="2"/>
      <c r="AN84" s="21"/>
      <c r="AO84" s="21"/>
      <c r="AP84" s="21"/>
      <c r="AQ84" s="21"/>
    </row>
    <row r="85" spans="1:43" ht="15.75" customHeight="1">
      <c r="A85" s="14"/>
      <c r="B85" s="15" t="s">
        <v>90</v>
      </c>
      <c r="C85" s="31">
        <v>7</v>
      </c>
      <c r="D85" s="26">
        <v>2016</v>
      </c>
      <c r="E85" s="26"/>
      <c r="F85" s="25">
        <v>-8.09E-2</v>
      </c>
      <c r="G85" s="32">
        <v>-0.49049999999999999</v>
      </c>
      <c r="H85" s="25">
        <v>0.98729999999999996</v>
      </c>
      <c r="I85" s="25">
        <v>1.2277</v>
      </c>
      <c r="J85" s="35">
        <v>4.4580000000000002E-2</v>
      </c>
      <c r="K85" s="25">
        <v>0.1825</v>
      </c>
      <c r="L85" s="25">
        <v>0.17910000000000001</v>
      </c>
      <c r="M85" s="23">
        <v>3</v>
      </c>
      <c r="N85" s="23">
        <v>3</v>
      </c>
      <c r="O85" s="23">
        <v>3</v>
      </c>
      <c r="P85" s="23">
        <v>3</v>
      </c>
      <c r="Q85" s="23">
        <v>3</v>
      </c>
      <c r="R85" s="23">
        <v>3</v>
      </c>
      <c r="S85" s="23">
        <v>3</v>
      </c>
      <c r="T85" s="23">
        <v>3</v>
      </c>
      <c r="U85" s="23">
        <v>3</v>
      </c>
      <c r="V85" s="23">
        <v>3</v>
      </c>
      <c r="W85" s="23">
        <v>3</v>
      </c>
      <c r="X85" s="118" t="s">
        <v>185</v>
      </c>
      <c r="Y85" s="28">
        <v>9.8121613571608354E-2</v>
      </c>
      <c r="Z85" s="67">
        <v>494345000</v>
      </c>
      <c r="AA85" s="34">
        <v>1</v>
      </c>
      <c r="AB85" s="34">
        <v>1</v>
      </c>
      <c r="AC85" s="24">
        <v>18</v>
      </c>
      <c r="AD85" s="24">
        <v>17</v>
      </c>
      <c r="AE85" s="24">
        <v>16</v>
      </c>
      <c r="AF85" s="24"/>
      <c r="AG85" s="24">
        <v>1</v>
      </c>
      <c r="AH85" s="57">
        <v>0.99980000000000002</v>
      </c>
      <c r="AI85" s="57">
        <v>0.2382</v>
      </c>
      <c r="AJ85" s="104">
        <v>-5.7700000000000001E-2</v>
      </c>
      <c r="AK85" s="96"/>
      <c r="AL85" s="1"/>
      <c r="AM85" s="2"/>
      <c r="AN85" s="21"/>
      <c r="AO85" s="21"/>
      <c r="AP85" s="21"/>
      <c r="AQ85" s="21"/>
    </row>
    <row r="86" spans="1:43" ht="15.75" customHeight="1">
      <c r="A86" s="14"/>
      <c r="B86" s="15" t="s">
        <v>90</v>
      </c>
      <c r="C86" s="31">
        <v>7</v>
      </c>
      <c r="D86" s="26">
        <v>2017</v>
      </c>
      <c r="E86" s="26"/>
      <c r="F86" s="25">
        <v>-5.6899999999999999E-2</v>
      </c>
      <c r="G86" s="32">
        <v>-0.58640000000000003</v>
      </c>
      <c r="H86" s="25">
        <v>0.9103</v>
      </c>
      <c r="I86" s="25">
        <v>1.3463000000000001</v>
      </c>
      <c r="J86" s="35">
        <v>5.5890000000000002E-2</v>
      </c>
      <c r="K86" s="25">
        <v>0.16250000000000001</v>
      </c>
      <c r="L86" s="25">
        <v>0.22040000000000001</v>
      </c>
      <c r="M86" s="23">
        <v>3</v>
      </c>
      <c r="N86" s="23">
        <v>3</v>
      </c>
      <c r="O86" s="23">
        <v>3</v>
      </c>
      <c r="P86" s="23">
        <v>3</v>
      </c>
      <c r="Q86" s="23">
        <v>3</v>
      </c>
      <c r="R86" s="23">
        <v>3</v>
      </c>
      <c r="S86" s="23">
        <v>3</v>
      </c>
      <c r="T86" s="23">
        <v>3</v>
      </c>
      <c r="U86" s="23">
        <v>3</v>
      </c>
      <c r="V86" s="23">
        <v>3</v>
      </c>
      <c r="W86" s="23">
        <v>3</v>
      </c>
      <c r="X86" s="118" t="s">
        <v>183</v>
      </c>
      <c r="Y86" s="28">
        <v>9.7198594993386969E-2</v>
      </c>
      <c r="Z86" s="67">
        <v>279628000</v>
      </c>
      <c r="AA86" s="34">
        <v>1</v>
      </c>
      <c r="AB86" s="34">
        <v>1</v>
      </c>
      <c r="AC86" s="24">
        <v>12</v>
      </c>
      <c r="AD86" s="24">
        <v>12</v>
      </c>
      <c r="AE86" s="24">
        <v>12</v>
      </c>
      <c r="AF86" s="24"/>
      <c r="AG86" s="24">
        <v>1</v>
      </c>
      <c r="AH86" s="57">
        <v>0.99990000000000001</v>
      </c>
      <c r="AI86" s="57">
        <v>0.1787</v>
      </c>
      <c r="AJ86" s="104">
        <v>-5.3699999999999998E-2</v>
      </c>
      <c r="AK86" s="96"/>
      <c r="AL86" s="1"/>
      <c r="AM86" s="2"/>
      <c r="AN86" s="21"/>
      <c r="AO86" s="21"/>
      <c r="AP86" s="21"/>
      <c r="AQ86" s="21"/>
    </row>
    <row r="87" spans="1:43" ht="15.75" customHeight="1">
      <c r="A87" s="14"/>
      <c r="B87" s="15" t="s">
        <v>90</v>
      </c>
      <c r="C87" s="31">
        <v>7</v>
      </c>
      <c r="D87" s="26">
        <v>2018</v>
      </c>
      <c r="E87" s="26"/>
      <c r="F87" s="25">
        <v>5.4000000000000003E-3</v>
      </c>
      <c r="G87" s="32">
        <v>2.63E-2</v>
      </c>
      <c r="H87" s="25">
        <v>0.89849999999999997</v>
      </c>
      <c r="I87" s="25">
        <v>0.9466</v>
      </c>
      <c r="J87" s="35">
        <v>2.1999999999999999E-2</v>
      </c>
      <c r="K87" s="25">
        <v>0.1643</v>
      </c>
      <c r="L87" s="25">
        <v>4.58E-2</v>
      </c>
      <c r="M87" s="23">
        <v>3</v>
      </c>
      <c r="N87" s="23">
        <v>3</v>
      </c>
      <c r="O87" s="23">
        <v>3</v>
      </c>
      <c r="P87" s="23">
        <v>3</v>
      </c>
      <c r="Q87" s="23">
        <v>3</v>
      </c>
      <c r="R87" s="23">
        <v>3</v>
      </c>
      <c r="S87" s="23">
        <v>3</v>
      </c>
      <c r="T87" s="23">
        <v>3</v>
      </c>
      <c r="U87" s="23">
        <v>3</v>
      </c>
      <c r="V87" s="23">
        <v>3</v>
      </c>
      <c r="W87" s="23">
        <v>3</v>
      </c>
      <c r="X87" s="118" t="s">
        <v>186</v>
      </c>
      <c r="Y87" s="28">
        <v>9.9358313027362519E-2</v>
      </c>
      <c r="Z87" s="67">
        <v>338783000</v>
      </c>
      <c r="AA87" s="34">
        <v>1</v>
      </c>
      <c r="AB87" s="34">
        <v>1</v>
      </c>
      <c r="AC87" s="24">
        <v>17</v>
      </c>
      <c r="AD87" s="24">
        <v>16</v>
      </c>
      <c r="AE87" s="24">
        <v>16</v>
      </c>
      <c r="AF87" s="24"/>
      <c r="AG87" s="24">
        <v>1</v>
      </c>
      <c r="AH87" s="58">
        <v>0.99990000000000001</v>
      </c>
      <c r="AI87" s="58">
        <v>0.21340000000000001</v>
      </c>
      <c r="AJ87" s="104" t="s">
        <v>152</v>
      </c>
      <c r="AK87" s="96"/>
      <c r="AL87" s="1"/>
      <c r="AM87" s="2"/>
      <c r="AN87" s="21"/>
      <c r="AO87" s="21"/>
      <c r="AP87" s="21"/>
      <c r="AQ87" s="21"/>
    </row>
    <row r="88" spans="1:43" ht="15.75" customHeight="1">
      <c r="A88" s="14"/>
      <c r="B88" s="15" t="s">
        <v>90</v>
      </c>
      <c r="C88" s="31">
        <v>7</v>
      </c>
      <c r="D88" s="26">
        <v>2019</v>
      </c>
      <c r="E88" s="26"/>
      <c r="F88" s="25">
        <v>6.0000000000000001E-3</v>
      </c>
      <c r="G88" s="32">
        <v>2.3300000000000001E-2</v>
      </c>
      <c r="H88" s="25">
        <v>0.93530000000000002</v>
      </c>
      <c r="I88" s="25">
        <v>0.93930000000000002</v>
      </c>
      <c r="J88" s="35">
        <v>1.3350000000000001E-2</v>
      </c>
      <c r="K88" s="25">
        <v>0.14949999999999999</v>
      </c>
      <c r="L88" s="25">
        <v>3.5400000000000001E-2</v>
      </c>
      <c r="M88" s="23">
        <v>3</v>
      </c>
      <c r="N88" s="23">
        <v>3</v>
      </c>
      <c r="O88" s="23">
        <v>3</v>
      </c>
      <c r="P88" s="23">
        <v>3</v>
      </c>
      <c r="Q88" s="23">
        <v>3</v>
      </c>
      <c r="R88" s="23">
        <v>3</v>
      </c>
      <c r="S88" s="23">
        <v>3</v>
      </c>
      <c r="T88" s="23">
        <v>3</v>
      </c>
      <c r="U88" s="23">
        <v>3</v>
      </c>
      <c r="V88" s="23">
        <v>3</v>
      </c>
      <c r="W88" s="23">
        <v>3</v>
      </c>
      <c r="X88" s="118" t="s">
        <v>187</v>
      </c>
      <c r="Y88" s="28">
        <v>8.8497620546503897E-2</v>
      </c>
      <c r="Z88" s="67">
        <v>521576000</v>
      </c>
      <c r="AA88" s="34">
        <v>1</v>
      </c>
      <c r="AB88" s="34">
        <v>1</v>
      </c>
      <c r="AC88" s="24">
        <v>22</v>
      </c>
      <c r="AD88" s="24">
        <v>21</v>
      </c>
      <c r="AE88" s="24">
        <v>19</v>
      </c>
      <c r="AF88" s="24"/>
      <c r="AG88" s="24">
        <v>1</v>
      </c>
      <c r="AH88" s="58">
        <v>0.99990000000000001</v>
      </c>
      <c r="AI88" s="59">
        <v>0.209289433</v>
      </c>
      <c r="AJ88" s="104" t="s">
        <v>153</v>
      </c>
      <c r="AK88" s="96"/>
      <c r="AL88" s="1"/>
      <c r="AM88" s="2"/>
      <c r="AN88" s="21"/>
      <c r="AO88" s="21"/>
      <c r="AP88" s="21"/>
      <c r="AQ88" s="21"/>
    </row>
    <row r="89" spans="1:43" ht="15.75" hidden="1" customHeight="1">
      <c r="A89" s="14"/>
      <c r="B89" s="15" t="s">
        <v>90</v>
      </c>
      <c r="C89" s="31">
        <v>7</v>
      </c>
      <c r="D89" s="26">
        <v>2020</v>
      </c>
      <c r="E89" s="26"/>
      <c r="F89" s="25">
        <v>4.1000000000000003E-3</v>
      </c>
      <c r="G89" s="18"/>
      <c r="H89" s="18">
        <v>0.86639999999999995</v>
      </c>
      <c r="I89" s="25">
        <v>0.95409999999999995</v>
      </c>
      <c r="J89" s="25"/>
      <c r="K89" s="25">
        <v>0.2414</v>
      </c>
      <c r="L89" s="25">
        <v>5.28E-2</v>
      </c>
      <c r="M89" s="24">
        <v>3</v>
      </c>
      <c r="N89" s="20"/>
      <c r="O89" s="20"/>
      <c r="P89" s="20"/>
      <c r="Q89" s="20"/>
      <c r="R89" s="20"/>
      <c r="S89" s="20"/>
      <c r="T89" s="20"/>
      <c r="U89" s="20"/>
      <c r="V89" s="20"/>
      <c r="W89" s="20"/>
      <c r="X89" s="27">
        <v>0.83673469387755106</v>
      </c>
      <c r="Y89" s="24">
        <v>7.6100637142554203E-2</v>
      </c>
      <c r="Z89" s="29"/>
      <c r="AA89" s="34"/>
      <c r="AB89" s="34"/>
      <c r="AC89" s="24"/>
      <c r="AD89" s="24"/>
      <c r="AE89" s="24"/>
      <c r="AF89" s="24"/>
      <c r="AG89" s="24"/>
      <c r="AH89" s="59"/>
      <c r="AI89" s="59"/>
      <c r="AJ89" s="104" t="s">
        <v>154</v>
      </c>
      <c r="AK89" s="96"/>
      <c r="AL89" s="1"/>
      <c r="AM89" s="2"/>
      <c r="AN89" s="21"/>
      <c r="AO89" s="21"/>
      <c r="AP89" s="21"/>
      <c r="AQ89" s="21"/>
    </row>
    <row r="90" spans="1:43" ht="15.75" customHeight="1">
      <c r="A90" s="14">
        <v>8</v>
      </c>
      <c r="B90" s="15" t="s">
        <v>97</v>
      </c>
      <c r="C90" s="31">
        <v>8</v>
      </c>
      <c r="D90" s="26">
        <v>2010</v>
      </c>
      <c r="E90" s="75">
        <v>40483</v>
      </c>
      <c r="F90" s="18">
        <v>1.9E-2</v>
      </c>
      <c r="G90" s="18">
        <v>0.2681</v>
      </c>
      <c r="H90" s="18">
        <v>0.78169999999999995</v>
      </c>
      <c r="I90" s="25">
        <v>0.88859999999999995</v>
      </c>
      <c r="J90" s="25">
        <v>0.15490000000000001</v>
      </c>
      <c r="K90" s="25">
        <v>0.13139999999999999</v>
      </c>
      <c r="L90" s="18">
        <v>3.5200000000000002E-2</v>
      </c>
      <c r="M90" s="24">
        <v>1</v>
      </c>
      <c r="N90" s="20">
        <v>2</v>
      </c>
      <c r="O90" s="20">
        <v>2</v>
      </c>
      <c r="P90" s="20">
        <v>2</v>
      </c>
      <c r="Q90" s="20">
        <v>2</v>
      </c>
      <c r="R90" s="20">
        <v>2</v>
      </c>
      <c r="S90" s="20">
        <v>2</v>
      </c>
      <c r="T90" s="20">
        <v>2</v>
      </c>
      <c r="U90" s="20">
        <v>2</v>
      </c>
      <c r="V90" s="20">
        <v>2</v>
      </c>
      <c r="W90" s="20">
        <v>2</v>
      </c>
      <c r="X90" s="70">
        <v>0.22309999999999999</v>
      </c>
      <c r="Y90" s="24"/>
      <c r="Z90" s="29">
        <v>2162882000</v>
      </c>
      <c r="AA90" s="34">
        <v>1</v>
      </c>
      <c r="AB90" s="34">
        <v>1</v>
      </c>
      <c r="AC90" s="23">
        <v>12</v>
      </c>
      <c r="AD90" s="23">
        <v>12</v>
      </c>
      <c r="AE90" s="23">
        <v>12</v>
      </c>
      <c r="AF90" s="24"/>
      <c r="AG90" s="24">
        <v>1</v>
      </c>
      <c r="AH90" s="58">
        <v>0.99980000000000002</v>
      </c>
      <c r="AI90" s="59">
        <v>4.7399999999999998E-2</v>
      </c>
      <c r="AJ90" s="104" t="s">
        <v>154</v>
      </c>
      <c r="AK90" s="96"/>
      <c r="AL90" s="1"/>
      <c r="AM90" s="2"/>
      <c r="AN90" s="21"/>
      <c r="AO90" s="21"/>
      <c r="AP90" s="21"/>
      <c r="AQ90" s="21"/>
    </row>
    <row r="91" spans="1:43" ht="15.75" customHeight="1">
      <c r="A91" s="14"/>
      <c r="B91" s="15" t="s">
        <v>97</v>
      </c>
      <c r="C91" s="31">
        <v>8</v>
      </c>
      <c r="D91" s="26">
        <v>2011</v>
      </c>
      <c r="E91" s="26"/>
      <c r="F91" s="18">
        <v>1.5800000000000002E-2</v>
      </c>
      <c r="G91" s="39">
        <v>0.16889999999999999</v>
      </c>
      <c r="H91" s="18">
        <v>0.83079999999999998</v>
      </c>
      <c r="I91" s="25">
        <v>0.90800000000000003</v>
      </c>
      <c r="J91" s="25">
        <v>0.15329999999999999</v>
      </c>
      <c r="K91" s="25">
        <v>0.1203</v>
      </c>
      <c r="L91" s="25">
        <v>3.0300000000000001E-2</v>
      </c>
      <c r="M91" s="24">
        <v>1</v>
      </c>
      <c r="N91" s="24">
        <v>2</v>
      </c>
      <c r="O91" s="24">
        <v>2</v>
      </c>
      <c r="P91" s="24">
        <v>2</v>
      </c>
      <c r="Q91" s="24">
        <v>2</v>
      </c>
      <c r="R91" s="24">
        <v>2</v>
      </c>
      <c r="S91" s="24">
        <v>2</v>
      </c>
      <c r="T91" s="24">
        <v>1</v>
      </c>
      <c r="U91" s="24">
        <v>2</v>
      </c>
      <c r="V91" s="24">
        <v>2</v>
      </c>
      <c r="W91" s="24">
        <v>2</v>
      </c>
      <c r="X91" s="70">
        <v>0.18179999999999999</v>
      </c>
      <c r="Y91" s="24"/>
      <c r="Z91" s="29">
        <v>1847617000</v>
      </c>
      <c r="AA91" s="34">
        <v>1</v>
      </c>
      <c r="AB91" s="34">
        <v>1</v>
      </c>
      <c r="AC91" s="23">
        <v>12</v>
      </c>
      <c r="AD91" s="23">
        <v>12</v>
      </c>
      <c r="AE91" s="23">
        <v>12</v>
      </c>
      <c r="AF91" s="24"/>
      <c r="AG91" s="24">
        <v>1</v>
      </c>
      <c r="AH91" s="58">
        <v>0.99980000000000002</v>
      </c>
      <c r="AI91" s="59">
        <v>1.77E-2</v>
      </c>
      <c r="AJ91" s="104" t="s">
        <v>155</v>
      </c>
      <c r="AK91" s="96"/>
      <c r="AL91" s="1"/>
      <c r="AM91" s="2"/>
      <c r="AN91" s="21"/>
      <c r="AO91" s="21"/>
      <c r="AP91" s="21"/>
      <c r="AQ91" s="21"/>
    </row>
    <row r="92" spans="1:43" ht="15.75" customHeight="1">
      <c r="A92" s="14"/>
      <c r="B92" s="15" t="s">
        <v>97</v>
      </c>
      <c r="C92" s="31">
        <v>8</v>
      </c>
      <c r="D92" s="26">
        <v>2012</v>
      </c>
      <c r="E92" s="26"/>
      <c r="F92" s="25">
        <v>3.8100000000000002E-2</v>
      </c>
      <c r="G92" s="18">
        <v>0.57979999999999998</v>
      </c>
      <c r="H92" s="18">
        <v>0.88880000000000003</v>
      </c>
      <c r="I92" s="25">
        <v>0.77280000000000004</v>
      </c>
      <c r="J92" s="25">
        <v>0.1394</v>
      </c>
      <c r="K92" s="25">
        <v>0.1351</v>
      </c>
      <c r="L92" s="25">
        <v>2.6700000000000002E-2</v>
      </c>
      <c r="M92" s="24">
        <v>1</v>
      </c>
      <c r="N92" s="24">
        <v>1</v>
      </c>
      <c r="O92" s="24">
        <v>2</v>
      </c>
      <c r="P92" s="24">
        <v>2</v>
      </c>
      <c r="Q92" s="24">
        <v>2</v>
      </c>
      <c r="R92" s="24">
        <v>2</v>
      </c>
      <c r="S92" s="24">
        <v>2</v>
      </c>
      <c r="T92" s="24">
        <v>1</v>
      </c>
      <c r="U92" s="24">
        <v>1</v>
      </c>
      <c r="V92" s="24">
        <v>2</v>
      </c>
      <c r="W92" s="24">
        <v>2</v>
      </c>
      <c r="X92" s="36">
        <v>0.19009999999999999</v>
      </c>
      <c r="Y92" s="36">
        <v>0.39500000000000002</v>
      </c>
      <c r="Z92" s="43">
        <v>5930742000</v>
      </c>
      <c r="AA92" s="34">
        <v>1</v>
      </c>
      <c r="AB92" s="34">
        <v>1</v>
      </c>
      <c r="AC92" s="23">
        <v>12</v>
      </c>
      <c r="AD92" s="23">
        <v>12</v>
      </c>
      <c r="AE92" s="23">
        <v>12</v>
      </c>
      <c r="AF92" s="24"/>
      <c r="AG92" s="24">
        <v>1</v>
      </c>
      <c r="AH92" s="58">
        <v>0.99990000000000001</v>
      </c>
      <c r="AI92" s="59">
        <v>5.4752899999999998E-3</v>
      </c>
      <c r="AJ92" s="104" t="s">
        <v>157</v>
      </c>
      <c r="AK92" s="96"/>
      <c r="AL92" s="1"/>
      <c r="AM92" s="2"/>
      <c r="AN92" s="21"/>
      <c r="AO92" s="21"/>
      <c r="AP92" s="21"/>
      <c r="AQ92" s="21"/>
    </row>
    <row r="93" spans="1:43" ht="15.75" customHeight="1">
      <c r="A93" s="14"/>
      <c r="B93" s="15" t="s">
        <v>97</v>
      </c>
      <c r="C93" s="31">
        <v>8</v>
      </c>
      <c r="D93" s="26">
        <v>2013</v>
      </c>
      <c r="E93" s="26"/>
      <c r="F93" s="25">
        <v>2.3300000000000001E-2</v>
      </c>
      <c r="G93" s="25">
        <v>0.26229999999999998</v>
      </c>
      <c r="H93" s="25">
        <v>0.93369999999999997</v>
      </c>
      <c r="I93" s="25">
        <v>0.8609</v>
      </c>
      <c r="J93" s="25">
        <v>0.1066</v>
      </c>
      <c r="K93" s="25">
        <v>0.12989999999999999</v>
      </c>
      <c r="L93" s="25">
        <v>2.98E-2</v>
      </c>
      <c r="M93" s="24">
        <v>1</v>
      </c>
      <c r="N93" s="24">
        <v>1</v>
      </c>
      <c r="O93" s="24">
        <v>2</v>
      </c>
      <c r="P93" s="24">
        <v>1</v>
      </c>
      <c r="Q93" s="24">
        <v>2</v>
      </c>
      <c r="R93" s="24">
        <v>2</v>
      </c>
      <c r="S93" s="24">
        <v>2</v>
      </c>
      <c r="T93" s="24">
        <v>2</v>
      </c>
      <c r="U93" s="24">
        <v>2</v>
      </c>
      <c r="V93" s="24">
        <v>2</v>
      </c>
      <c r="W93" s="24">
        <v>2</v>
      </c>
      <c r="X93" s="36">
        <v>0.63300000000000001</v>
      </c>
      <c r="Y93" s="36">
        <v>0.438</v>
      </c>
      <c r="Z93" s="43">
        <v>5121471000</v>
      </c>
      <c r="AA93" s="34">
        <v>1</v>
      </c>
      <c r="AB93" s="34">
        <v>1</v>
      </c>
      <c r="AC93" s="23">
        <v>11</v>
      </c>
      <c r="AD93" s="23">
        <v>9</v>
      </c>
      <c r="AE93" s="23">
        <v>12</v>
      </c>
      <c r="AF93" s="24"/>
      <c r="AG93" s="24">
        <v>1</v>
      </c>
      <c r="AH93" s="58">
        <v>0.99980000000000002</v>
      </c>
      <c r="AI93" s="59">
        <v>5.9713700000000001E-3</v>
      </c>
      <c r="AJ93" s="104" t="s">
        <v>158</v>
      </c>
      <c r="AK93" s="96"/>
      <c r="AL93" s="1"/>
      <c r="AM93" s="2"/>
      <c r="AN93" s="21"/>
      <c r="AO93" s="21"/>
      <c r="AP93" s="21"/>
      <c r="AQ93" s="21"/>
    </row>
    <row r="94" spans="1:43" ht="15.75" customHeight="1">
      <c r="A94" s="14"/>
      <c r="B94" s="15" t="s">
        <v>97</v>
      </c>
      <c r="C94" s="31">
        <v>8</v>
      </c>
      <c r="D94" s="26">
        <v>2014</v>
      </c>
      <c r="E94" s="26"/>
      <c r="F94" s="25">
        <v>2.8999999999999998E-3</v>
      </c>
      <c r="G94" s="32">
        <v>2.5000000000000001E-2</v>
      </c>
      <c r="H94" s="25">
        <v>0.93610000000000004</v>
      </c>
      <c r="I94" s="25">
        <v>0.97609999999999997</v>
      </c>
      <c r="J94" s="32">
        <v>8.3299999999999999E-2</v>
      </c>
      <c r="K94" s="25">
        <v>0.19259999999999999</v>
      </c>
      <c r="L94" s="25">
        <v>3.8899999999999997E-2</v>
      </c>
      <c r="M94" s="23">
        <v>1</v>
      </c>
      <c r="N94" s="23">
        <v>1</v>
      </c>
      <c r="O94" s="23">
        <v>1</v>
      </c>
      <c r="P94" s="23">
        <v>1</v>
      </c>
      <c r="Q94" s="23">
        <v>1</v>
      </c>
      <c r="R94" s="23">
        <v>2</v>
      </c>
      <c r="S94" s="23">
        <v>2</v>
      </c>
      <c r="T94" s="23">
        <v>2</v>
      </c>
      <c r="U94" s="23">
        <v>1</v>
      </c>
      <c r="V94" s="23">
        <v>2</v>
      </c>
      <c r="W94" s="23">
        <v>2</v>
      </c>
      <c r="X94" s="36">
        <v>0.27079999999999999</v>
      </c>
      <c r="Y94" s="36">
        <v>0.438</v>
      </c>
      <c r="Z94" s="43">
        <v>5979390000</v>
      </c>
      <c r="AA94" s="34">
        <v>1</v>
      </c>
      <c r="AB94" s="34">
        <v>1</v>
      </c>
      <c r="AC94" s="23">
        <v>12</v>
      </c>
      <c r="AD94" s="23">
        <v>12</v>
      </c>
      <c r="AE94" s="23">
        <v>12</v>
      </c>
      <c r="AF94" s="24"/>
      <c r="AG94" s="24">
        <v>1</v>
      </c>
      <c r="AH94" s="57">
        <v>0.99990000000000001</v>
      </c>
      <c r="AI94" s="57">
        <v>7.4610700000000002E-3</v>
      </c>
      <c r="AJ94" s="106">
        <v>0.395264</v>
      </c>
      <c r="AK94" s="96"/>
      <c r="AL94" s="1"/>
      <c r="AM94" s="2"/>
      <c r="AN94" s="21"/>
      <c r="AO94" s="21"/>
      <c r="AP94" s="21"/>
      <c r="AQ94" s="21"/>
    </row>
    <row r="95" spans="1:43" ht="15.75" customHeight="1">
      <c r="A95" s="14"/>
      <c r="B95" s="15" t="s">
        <v>97</v>
      </c>
      <c r="C95" s="31">
        <v>8</v>
      </c>
      <c r="D95" s="26">
        <v>2015</v>
      </c>
      <c r="E95" s="26"/>
      <c r="F95" s="25">
        <v>3.0000000000000001E-3</v>
      </c>
      <c r="G95" s="32">
        <v>1.61E-2</v>
      </c>
      <c r="H95" s="25">
        <v>0.9849</v>
      </c>
      <c r="I95" s="25">
        <v>0.99509999999999998</v>
      </c>
      <c r="J95" s="32">
        <v>9.3399999999999997E-2</v>
      </c>
      <c r="K95" s="25">
        <v>0.18740000000000001</v>
      </c>
      <c r="L95" s="25">
        <v>4.2599999999999999E-2</v>
      </c>
      <c r="M95" s="23">
        <v>1</v>
      </c>
      <c r="N95" s="23">
        <v>2</v>
      </c>
      <c r="O95" s="23">
        <v>1</v>
      </c>
      <c r="P95" s="23">
        <v>1</v>
      </c>
      <c r="Q95" s="23">
        <v>1</v>
      </c>
      <c r="R95" s="23">
        <v>2</v>
      </c>
      <c r="S95" s="23">
        <v>2</v>
      </c>
      <c r="T95" s="23">
        <v>2</v>
      </c>
      <c r="U95" s="23">
        <v>1</v>
      </c>
      <c r="V95" s="23">
        <v>2</v>
      </c>
      <c r="W95" s="23">
        <v>2</v>
      </c>
      <c r="X95" s="36">
        <v>0.33329999999999999</v>
      </c>
      <c r="Y95" s="36">
        <v>0.41599999999999998</v>
      </c>
      <c r="Z95" s="43">
        <v>1010000000</v>
      </c>
      <c r="AA95" s="34">
        <v>1</v>
      </c>
      <c r="AB95" s="34">
        <v>1</v>
      </c>
      <c r="AC95" s="23">
        <v>12</v>
      </c>
      <c r="AD95" s="23">
        <v>12</v>
      </c>
      <c r="AE95" s="23">
        <v>12</v>
      </c>
      <c r="AF95" s="24"/>
      <c r="AG95" s="24">
        <v>1</v>
      </c>
      <c r="AH95" s="57">
        <v>0.995</v>
      </c>
      <c r="AI95" s="63">
        <v>4.2478400000000001E-3</v>
      </c>
      <c r="AJ95" s="104">
        <v>1.111E-2</v>
      </c>
      <c r="AK95" s="96"/>
      <c r="AL95" s="1"/>
      <c r="AM95" s="2"/>
      <c r="AN95" s="21"/>
      <c r="AO95" s="21"/>
      <c r="AP95" s="21"/>
      <c r="AQ95" s="21"/>
    </row>
    <row r="96" spans="1:43" ht="15.75" customHeight="1">
      <c r="A96" s="14"/>
      <c r="B96" s="15" t="s">
        <v>97</v>
      </c>
      <c r="C96" s="16">
        <v>8</v>
      </c>
      <c r="D96" s="26">
        <v>2016</v>
      </c>
      <c r="E96" s="26"/>
      <c r="F96" s="25">
        <v>2.63E-2</v>
      </c>
      <c r="G96" s="32">
        <v>0.1197</v>
      </c>
      <c r="H96" s="25">
        <v>0.95240000000000002</v>
      </c>
      <c r="I96" s="25">
        <v>0.88160000000000005</v>
      </c>
      <c r="J96" s="32">
        <v>7.5600000000000001E-2</v>
      </c>
      <c r="K96" s="25">
        <v>0.23530000000000001</v>
      </c>
      <c r="L96" s="25">
        <v>3.3000000000000002E-2</v>
      </c>
      <c r="M96" s="23">
        <v>2</v>
      </c>
      <c r="N96" s="23">
        <v>2</v>
      </c>
      <c r="O96" s="23">
        <v>1</v>
      </c>
      <c r="P96" s="23">
        <v>1</v>
      </c>
      <c r="Q96" s="23">
        <v>2</v>
      </c>
      <c r="R96" s="23">
        <v>1</v>
      </c>
      <c r="S96" s="23">
        <v>2</v>
      </c>
      <c r="T96" s="23">
        <v>2</v>
      </c>
      <c r="U96" s="23">
        <v>1</v>
      </c>
      <c r="V96" s="23">
        <v>2</v>
      </c>
      <c r="W96" s="23">
        <v>2</v>
      </c>
      <c r="X96" s="116" t="s">
        <v>188</v>
      </c>
      <c r="Y96" s="36">
        <v>0.58299999999999996</v>
      </c>
      <c r="Z96" s="43">
        <v>2127000000</v>
      </c>
      <c r="AA96" s="34">
        <v>1</v>
      </c>
      <c r="AB96" s="34">
        <v>1</v>
      </c>
      <c r="AC96" s="23">
        <v>11</v>
      </c>
      <c r="AD96" s="23">
        <v>9</v>
      </c>
      <c r="AE96" s="23">
        <v>12</v>
      </c>
      <c r="AF96" s="24"/>
      <c r="AG96" s="24">
        <v>1</v>
      </c>
      <c r="AH96" s="57">
        <v>0.99970000000000003</v>
      </c>
      <c r="AI96" s="57">
        <v>7.1999999999999995E-2</v>
      </c>
      <c r="AJ96" s="104">
        <v>3.0810000000000001E-2</v>
      </c>
      <c r="AK96" s="96"/>
      <c r="AL96" s="1"/>
      <c r="AM96" s="2"/>
      <c r="AN96" s="21"/>
      <c r="AO96" s="21"/>
      <c r="AP96" s="21"/>
      <c r="AQ96" s="21"/>
    </row>
    <row r="97" spans="1:43" ht="15.75" customHeight="1">
      <c r="A97" s="14"/>
      <c r="B97" s="15" t="s">
        <v>97</v>
      </c>
      <c r="C97" s="16">
        <v>8</v>
      </c>
      <c r="D97" s="26">
        <v>2017</v>
      </c>
      <c r="E97" s="26"/>
      <c r="F97" s="25">
        <v>1.5599999999999999E-2</v>
      </c>
      <c r="G97" s="32">
        <v>6.7500000000000004E-2</v>
      </c>
      <c r="H97" s="25">
        <v>0.91049999999999998</v>
      </c>
      <c r="I97" s="25">
        <v>0.89159999999999995</v>
      </c>
      <c r="J97" s="32">
        <v>6.0299999999999999E-2</v>
      </c>
      <c r="K97" s="25">
        <v>0.22189999999999999</v>
      </c>
      <c r="L97" s="25">
        <v>2.9499999999999998E-2</v>
      </c>
      <c r="M97" s="23">
        <v>2</v>
      </c>
      <c r="N97" s="23">
        <v>2</v>
      </c>
      <c r="O97" s="23">
        <v>1</v>
      </c>
      <c r="P97" s="23">
        <v>2</v>
      </c>
      <c r="Q97" s="23">
        <v>2</v>
      </c>
      <c r="R97" s="23">
        <v>1</v>
      </c>
      <c r="S97" s="23">
        <v>2</v>
      </c>
      <c r="T97" s="23">
        <v>2</v>
      </c>
      <c r="U97" s="23">
        <v>1</v>
      </c>
      <c r="V97" s="23">
        <v>2</v>
      </c>
      <c r="W97" s="23">
        <v>2</v>
      </c>
      <c r="X97" s="116" t="s">
        <v>189</v>
      </c>
      <c r="Y97" s="36">
        <v>0.68799999999999994</v>
      </c>
      <c r="Z97" s="43">
        <v>6377242000</v>
      </c>
      <c r="AA97" s="34">
        <v>1</v>
      </c>
      <c r="AB97" s="34">
        <v>1</v>
      </c>
      <c r="AC97" s="23">
        <v>12</v>
      </c>
      <c r="AD97" s="23">
        <v>10</v>
      </c>
      <c r="AE97" s="23">
        <v>8</v>
      </c>
      <c r="AF97" s="24"/>
      <c r="AG97" s="24">
        <v>1</v>
      </c>
      <c r="AH97" s="57">
        <v>0.99970000000000003</v>
      </c>
      <c r="AI97" s="57">
        <v>0.14099999999999999</v>
      </c>
      <c r="AJ97" s="104">
        <v>3.3369999999999997E-2</v>
      </c>
      <c r="AK97" s="96"/>
      <c r="AL97" s="1"/>
      <c r="AM97" s="2"/>
      <c r="AN97" s="21"/>
      <c r="AO97" s="21"/>
      <c r="AP97" s="21"/>
      <c r="AQ97" s="21"/>
    </row>
    <row r="98" spans="1:43" ht="15.75" customHeight="1">
      <c r="A98" s="14"/>
      <c r="B98" s="15" t="s">
        <v>97</v>
      </c>
      <c r="C98" s="16">
        <v>8</v>
      </c>
      <c r="D98" s="26">
        <v>2018</v>
      </c>
      <c r="E98" s="26"/>
      <c r="F98" s="25">
        <v>9.2999999999999992E-3</v>
      </c>
      <c r="G98" s="32">
        <v>4.0800000000000003E-2</v>
      </c>
      <c r="H98" s="25">
        <v>0.90880000000000005</v>
      </c>
      <c r="I98" s="25">
        <v>0.93840000000000001</v>
      </c>
      <c r="J98" s="32">
        <v>5.5199999999999999E-2</v>
      </c>
      <c r="K98" s="25">
        <v>0.2054</v>
      </c>
      <c r="L98" s="25">
        <v>2.1499999999999998E-2</v>
      </c>
      <c r="M98" s="23">
        <v>1</v>
      </c>
      <c r="N98" s="23">
        <v>1</v>
      </c>
      <c r="O98" s="23">
        <v>1</v>
      </c>
      <c r="P98" s="23">
        <v>1</v>
      </c>
      <c r="Q98" s="23">
        <v>1</v>
      </c>
      <c r="R98" s="23">
        <v>1</v>
      </c>
      <c r="S98" s="23">
        <v>2</v>
      </c>
      <c r="T98" s="23">
        <v>1</v>
      </c>
      <c r="U98" s="23">
        <v>1</v>
      </c>
      <c r="V98" s="23">
        <v>1</v>
      </c>
      <c r="W98" s="23">
        <v>1</v>
      </c>
      <c r="X98" s="116" t="s">
        <v>178</v>
      </c>
      <c r="Y98" s="36">
        <v>0.79200000000000004</v>
      </c>
      <c r="Z98" s="43">
        <v>4474593000</v>
      </c>
      <c r="AA98" s="34">
        <v>1</v>
      </c>
      <c r="AB98" s="34">
        <v>1</v>
      </c>
      <c r="AC98" s="23">
        <v>12</v>
      </c>
      <c r="AD98" s="23">
        <v>12</v>
      </c>
      <c r="AE98" s="44">
        <v>12</v>
      </c>
      <c r="AF98" s="24"/>
      <c r="AG98" s="24">
        <v>1</v>
      </c>
      <c r="AH98" s="57">
        <v>0.99939999999999996</v>
      </c>
      <c r="AI98" s="57">
        <v>0.24099999999999999</v>
      </c>
      <c r="AJ98" s="104">
        <v>2.6509999999999999E-2</v>
      </c>
      <c r="AK98" s="96"/>
      <c r="AL98" s="1"/>
      <c r="AM98" s="2"/>
      <c r="AN98" s="21"/>
      <c r="AO98" s="21"/>
      <c r="AP98" s="21"/>
      <c r="AQ98" s="21"/>
    </row>
    <row r="99" spans="1:43" ht="15.75" customHeight="1">
      <c r="A99" s="14"/>
      <c r="B99" s="15" t="s">
        <v>97</v>
      </c>
      <c r="C99" s="16">
        <v>8</v>
      </c>
      <c r="D99" s="26">
        <v>2019</v>
      </c>
      <c r="E99" s="26"/>
      <c r="F99" s="25">
        <v>8.8999999999999999E-3</v>
      </c>
      <c r="G99" s="32">
        <v>0.42699999999999999</v>
      </c>
      <c r="H99" s="25">
        <v>0.94530000000000003</v>
      </c>
      <c r="I99" s="25">
        <v>0.93710000000000004</v>
      </c>
      <c r="J99" s="32">
        <v>5.3600000000000002E-2</v>
      </c>
      <c r="K99" s="25">
        <v>0.1996</v>
      </c>
      <c r="L99" s="25">
        <v>1.72E-2</v>
      </c>
      <c r="M99" s="23">
        <v>1</v>
      </c>
      <c r="N99" s="23">
        <v>2</v>
      </c>
      <c r="O99" s="23">
        <v>1</v>
      </c>
      <c r="P99" s="23">
        <v>1</v>
      </c>
      <c r="Q99" s="23">
        <v>2</v>
      </c>
      <c r="R99" s="23">
        <v>2</v>
      </c>
      <c r="S99" s="23">
        <v>2</v>
      </c>
      <c r="T99" s="23">
        <v>2</v>
      </c>
      <c r="U99" s="23">
        <v>1</v>
      </c>
      <c r="V99" s="23">
        <v>1</v>
      </c>
      <c r="W99" s="23">
        <v>1</v>
      </c>
      <c r="X99" s="116" t="s">
        <v>190</v>
      </c>
      <c r="Y99" s="36">
        <v>0.79200000000000004</v>
      </c>
      <c r="Z99" s="43">
        <v>3356988000</v>
      </c>
      <c r="AA99" s="34">
        <v>1</v>
      </c>
      <c r="AB99" s="34">
        <v>1</v>
      </c>
      <c r="AC99" s="23">
        <v>8</v>
      </c>
      <c r="AD99" s="23">
        <v>10</v>
      </c>
      <c r="AE99" s="44">
        <v>12</v>
      </c>
      <c r="AF99" s="24"/>
      <c r="AG99" s="24">
        <v>1</v>
      </c>
      <c r="AH99" s="57">
        <v>0.99950000000000006</v>
      </c>
      <c r="AI99" s="57">
        <v>0.33100000000000002</v>
      </c>
      <c r="AJ99" s="104" t="s">
        <v>159</v>
      </c>
      <c r="AK99" s="96"/>
      <c r="AL99" s="1"/>
      <c r="AM99" s="2"/>
      <c r="AN99" s="21"/>
      <c r="AO99" s="21"/>
      <c r="AP99" s="21"/>
      <c r="AQ99" s="21"/>
    </row>
    <row r="100" spans="1:43" ht="15.75" hidden="1" customHeight="1">
      <c r="A100" s="14"/>
      <c r="B100" s="15" t="s">
        <v>97</v>
      </c>
      <c r="C100" s="16">
        <v>8</v>
      </c>
      <c r="D100" s="26">
        <v>2020</v>
      </c>
      <c r="E100" s="26"/>
      <c r="F100" s="25">
        <v>1.7399999999999999E-2</v>
      </c>
      <c r="G100" s="25"/>
      <c r="H100" s="25">
        <v>0.63939999999999997</v>
      </c>
      <c r="I100" s="25">
        <v>0.85519999999999996</v>
      </c>
      <c r="J100" s="25"/>
      <c r="K100" s="25">
        <v>0.24149999999999999</v>
      </c>
      <c r="L100" s="25">
        <v>1.49E-2</v>
      </c>
      <c r="M100" s="24">
        <v>2</v>
      </c>
      <c r="N100" s="20"/>
      <c r="O100" s="20"/>
      <c r="P100" s="20"/>
      <c r="Q100" s="20"/>
      <c r="R100" s="20"/>
      <c r="S100" s="20"/>
      <c r="T100" s="20"/>
      <c r="U100" s="20"/>
      <c r="V100" s="20"/>
      <c r="W100" s="20"/>
      <c r="X100" s="36">
        <v>0.79200000000000004</v>
      </c>
      <c r="Y100" s="45"/>
      <c r="Z100" s="42"/>
      <c r="AA100" s="34"/>
      <c r="AB100" s="34"/>
      <c r="AC100" s="24"/>
      <c r="AD100" s="24"/>
      <c r="AE100" s="24"/>
      <c r="AF100" s="24"/>
      <c r="AG100" s="24"/>
      <c r="AH100" s="59"/>
      <c r="AI100" s="59"/>
      <c r="AJ100" s="104" t="e">
        <f>#REF!</f>
        <v>#REF!</v>
      </c>
      <c r="AK100" s="96"/>
      <c r="AL100" s="1"/>
      <c r="AM100" s="2"/>
      <c r="AN100" s="21"/>
      <c r="AO100" s="21"/>
      <c r="AP100" s="21"/>
      <c r="AQ100" s="21"/>
    </row>
    <row r="101" spans="1:43" ht="15.75" customHeight="1">
      <c r="A101" s="14">
        <v>9</v>
      </c>
      <c r="B101" s="15" t="s">
        <v>98</v>
      </c>
      <c r="C101" s="16">
        <v>9</v>
      </c>
      <c r="D101" s="26">
        <v>2010</v>
      </c>
      <c r="E101" s="75">
        <v>40269</v>
      </c>
      <c r="F101" s="18">
        <v>1.1299999999999999E-2</v>
      </c>
      <c r="G101" s="18">
        <v>1.9400000000000001E-2</v>
      </c>
      <c r="H101" s="18">
        <v>0.77890000000000004</v>
      </c>
      <c r="I101" s="25">
        <v>0.91400000000000003</v>
      </c>
      <c r="J101" s="25">
        <v>9.4799999999999995E-2</v>
      </c>
      <c r="K101" s="25">
        <v>0.76400000000000001</v>
      </c>
      <c r="L101" s="25">
        <v>2.1899999999999999E-2</v>
      </c>
      <c r="M101" s="24">
        <v>2.1</v>
      </c>
      <c r="N101" s="24">
        <v>2.1</v>
      </c>
      <c r="O101" s="24">
        <v>3</v>
      </c>
      <c r="P101" s="24">
        <v>2.1</v>
      </c>
      <c r="Q101" s="24">
        <v>3</v>
      </c>
      <c r="R101" s="24">
        <v>2.1</v>
      </c>
      <c r="S101" s="24">
        <v>2.1</v>
      </c>
      <c r="T101" s="24">
        <v>3</v>
      </c>
      <c r="U101" s="24">
        <v>1</v>
      </c>
      <c r="V101" s="24">
        <v>1</v>
      </c>
      <c r="W101" s="24">
        <v>2.1</v>
      </c>
      <c r="X101" s="70">
        <v>0.58333000000000002</v>
      </c>
      <c r="Y101" s="24"/>
      <c r="Z101" s="42">
        <v>0</v>
      </c>
      <c r="AA101" s="22">
        <v>0</v>
      </c>
      <c r="AB101" s="22">
        <v>1</v>
      </c>
      <c r="AC101" s="23">
        <v>12</v>
      </c>
      <c r="AD101" s="23">
        <v>12</v>
      </c>
      <c r="AE101" s="24"/>
      <c r="AF101" s="24"/>
      <c r="AG101" s="24">
        <v>1</v>
      </c>
      <c r="AH101" s="58">
        <v>0.99909999999999999</v>
      </c>
      <c r="AI101" s="58">
        <v>9.9000000000000008E-3</v>
      </c>
      <c r="AJ101" s="104">
        <v>1.0098</v>
      </c>
      <c r="AK101" s="96"/>
      <c r="AL101" s="1"/>
      <c r="AM101" s="2"/>
      <c r="AN101" s="21"/>
      <c r="AO101" s="21"/>
      <c r="AP101" s="21"/>
      <c r="AQ101" s="21"/>
    </row>
    <row r="102" spans="1:43" ht="15.75" customHeight="1">
      <c r="A102" s="14"/>
      <c r="B102" s="15" t="s">
        <v>98</v>
      </c>
      <c r="C102" s="16">
        <v>9</v>
      </c>
      <c r="D102" s="26">
        <v>2011</v>
      </c>
      <c r="E102" s="26"/>
      <c r="F102" s="18">
        <v>8.9999999999999993E-3</v>
      </c>
      <c r="G102" s="25">
        <v>2.3E-2</v>
      </c>
      <c r="H102" s="25">
        <v>0.78800000000000003</v>
      </c>
      <c r="I102" s="26" t="s">
        <v>99</v>
      </c>
      <c r="J102" s="25">
        <v>0.113</v>
      </c>
      <c r="K102" s="25">
        <v>0.45900000000000002</v>
      </c>
      <c r="L102" s="25">
        <v>2E-3</v>
      </c>
      <c r="M102" s="24">
        <v>1.9</v>
      </c>
      <c r="N102" s="24">
        <v>1.9</v>
      </c>
      <c r="O102" s="24">
        <v>1.9</v>
      </c>
      <c r="P102" s="24">
        <v>1.9</v>
      </c>
      <c r="Q102" s="24">
        <v>1.9</v>
      </c>
      <c r="R102" s="24">
        <v>1.9</v>
      </c>
      <c r="S102" s="24">
        <v>1.9</v>
      </c>
      <c r="T102" s="24">
        <v>1.9</v>
      </c>
      <c r="U102" s="24">
        <v>1</v>
      </c>
      <c r="V102" s="24">
        <v>1</v>
      </c>
      <c r="W102" s="24">
        <v>1.9</v>
      </c>
      <c r="X102" s="70">
        <v>0.52</v>
      </c>
      <c r="Y102" s="24"/>
      <c r="Z102" s="29">
        <v>2031589000</v>
      </c>
      <c r="AA102" s="22">
        <v>0</v>
      </c>
      <c r="AB102" s="22">
        <v>1</v>
      </c>
      <c r="AC102" s="23">
        <v>18</v>
      </c>
      <c r="AD102" s="23">
        <v>18</v>
      </c>
      <c r="AE102" s="24"/>
      <c r="AF102" s="24"/>
      <c r="AG102" s="24">
        <v>1</v>
      </c>
      <c r="AH102" s="58">
        <v>0.99450000000000005</v>
      </c>
      <c r="AI102" s="58">
        <v>1.9800000000000002E-2</v>
      </c>
      <c r="AJ102" s="104" t="s">
        <v>160</v>
      </c>
      <c r="AK102" s="96"/>
      <c r="AL102" s="1"/>
      <c r="AM102" s="2"/>
      <c r="AN102" s="21"/>
      <c r="AO102" s="21"/>
      <c r="AP102" s="21"/>
      <c r="AQ102" s="21"/>
    </row>
    <row r="103" spans="1:43" ht="15.75" customHeight="1">
      <c r="A103" s="14"/>
      <c r="B103" s="15" t="s">
        <v>98</v>
      </c>
      <c r="C103" s="16">
        <v>9</v>
      </c>
      <c r="D103" s="26">
        <v>2012</v>
      </c>
      <c r="E103" s="26"/>
      <c r="F103" s="18">
        <v>8.0000000000000002E-3</v>
      </c>
      <c r="G103" s="25">
        <v>2.8000000000000001E-2</v>
      </c>
      <c r="H103" s="25">
        <v>0.79900000000000004</v>
      </c>
      <c r="I103" s="18">
        <v>0.91400000000000003</v>
      </c>
      <c r="J103" s="18">
        <v>9.6000000000000002E-2</v>
      </c>
      <c r="K103" s="25">
        <v>0.315</v>
      </c>
      <c r="L103" s="25">
        <v>1E-3</v>
      </c>
      <c r="M103" s="24">
        <v>1.8</v>
      </c>
      <c r="N103" s="24">
        <v>1.8</v>
      </c>
      <c r="O103" s="24">
        <v>1.8</v>
      </c>
      <c r="P103" s="24">
        <v>1</v>
      </c>
      <c r="Q103" s="24">
        <v>1.8</v>
      </c>
      <c r="R103" s="24">
        <v>1.8</v>
      </c>
      <c r="S103" s="24">
        <v>1.8</v>
      </c>
      <c r="T103" s="24">
        <v>1.8</v>
      </c>
      <c r="U103" s="24">
        <v>1</v>
      </c>
      <c r="V103" s="24">
        <v>1</v>
      </c>
      <c r="W103" s="24">
        <v>1.8</v>
      </c>
      <c r="X103" s="36">
        <v>0.5</v>
      </c>
      <c r="Y103" s="24"/>
      <c r="Z103" s="43">
        <v>9433286000</v>
      </c>
      <c r="AA103" s="22">
        <v>0</v>
      </c>
      <c r="AB103" s="22">
        <v>1</v>
      </c>
      <c r="AC103" s="23">
        <v>19</v>
      </c>
      <c r="AD103" s="23">
        <v>19</v>
      </c>
      <c r="AE103" s="24"/>
      <c r="AF103" s="24"/>
      <c r="AG103" s="24">
        <v>1</v>
      </c>
      <c r="AH103" s="55">
        <v>0.99990000000000001</v>
      </c>
      <c r="AI103" s="64">
        <v>0.46467101999999999</v>
      </c>
      <c r="AJ103" s="104" t="s">
        <v>161</v>
      </c>
      <c r="AK103" s="96"/>
      <c r="AL103" s="1"/>
      <c r="AM103" s="2"/>
      <c r="AN103" s="21"/>
      <c r="AO103" s="21"/>
      <c r="AP103" s="21"/>
      <c r="AQ103" s="21"/>
    </row>
    <row r="104" spans="1:43" ht="15.75" customHeight="1">
      <c r="A104" s="14"/>
      <c r="B104" s="15" t="s">
        <v>98</v>
      </c>
      <c r="C104" s="16">
        <v>9</v>
      </c>
      <c r="D104" s="26">
        <v>2013</v>
      </c>
      <c r="E104" s="26"/>
      <c r="F104" s="25">
        <v>0.01</v>
      </c>
      <c r="G104" s="25">
        <v>4.2999999999999997E-2</v>
      </c>
      <c r="H104" s="25">
        <v>0.83499999999999996</v>
      </c>
      <c r="I104" s="25">
        <v>0.90200000000000002</v>
      </c>
      <c r="J104" s="25">
        <v>7.6999999999999999E-2</v>
      </c>
      <c r="K104" s="25">
        <v>0.224</v>
      </c>
      <c r="L104" s="25">
        <v>1E-3</v>
      </c>
      <c r="M104" s="24">
        <v>2</v>
      </c>
      <c r="N104" s="24">
        <v>2</v>
      </c>
      <c r="O104" s="24">
        <v>2</v>
      </c>
      <c r="P104" s="24">
        <v>1</v>
      </c>
      <c r="Q104" s="24">
        <v>2</v>
      </c>
      <c r="R104" s="24">
        <v>1</v>
      </c>
      <c r="S104" s="24">
        <v>2</v>
      </c>
      <c r="T104" s="24">
        <v>2</v>
      </c>
      <c r="U104" s="24">
        <v>1</v>
      </c>
      <c r="V104" s="24">
        <v>1</v>
      </c>
      <c r="W104" s="24">
        <v>1</v>
      </c>
      <c r="X104" s="36">
        <v>0.625</v>
      </c>
      <c r="Y104" s="24">
        <v>7.5970902321935915E-2</v>
      </c>
      <c r="Z104" s="43">
        <v>10000000000</v>
      </c>
      <c r="AA104" s="22">
        <v>0</v>
      </c>
      <c r="AB104" s="22">
        <v>1</v>
      </c>
      <c r="AC104" s="23">
        <v>17</v>
      </c>
      <c r="AD104" s="23">
        <v>17</v>
      </c>
      <c r="AE104" s="24"/>
      <c r="AF104" s="24"/>
      <c r="AG104" s="24">
        <v>1</v>
      </c>
      <c r="AH104" s="55">
        <v>0.99990000000000001</v>
      </c>
      <c r="AI104" s="64">
        <v>0.52240092000000005</v>
      </c>
      <c r="AJ104" s="108">
        <v>1.2531000000000001</v>
      </c>
      <c r="AK104" s="96"/>
      <c r="AL104" s="1"/>
      <c r="AM104" s="2"/>
      <c r="AN104" s="21"/>
      <c r="AO104" s="21"/>
      <c r="AP104" s="21"/>
      <c r="AQ104" s="21"/>
    </row>
    <row r="105" spans="1:43" ht="15.75" customHeight="1">
      <c r="A105" s="14"/>
      <c r="B105" s="15" t="s">
        <v>98</v>
      </c>
      <c r="C105" s="16">
        <v>9</v>
      </c>
      <c r="D105" s="26">
        <v>2014</v>
      </c>
      <c r="E105" s="26"/>
      <c r="F105" s="25">
        <v>8.0000000000000002E-3</v>
      </c>
      <c r="G105" s="32">
        <v>2.9000000000000001E-2</v>
      </c>
      <c r="H105" s="25">
        <v>0.91200000000000003</v>
      </c>
      <c r="I105" s="25">
        <v>0.92900000000000005</v>
      </c>
      <c r="J105" s="32">
        <v>4.2000000000000003E-2</v>
      </c>
      <c r="K105" s="25">
        <v>0.29599999999999999</v>
      </c>
      <c r="L105" s="25">
        <v>1.1999999999999999E-3</v>
      </c>
      <c r="M105" s="23">
        <v>1</v>
      </c>
      <c r="N105" s="23">
        <v>1</v>
      </c>
      <c r="O105" s="23">
        <v>2</v>
      </c>
      <c r="P105" s="23">
        <v>1</v>
      </c>
      <c r="Q105" s="23">
        <v>1</v>
      </c>
      <c r="R105" s="23">
        <v>1</v>
      </c>
      <c r="S105" s="23">
        <v>1</v>
      </c>
      <c r="T105" s="23">
        <v>2</v>
      </c>
      <c r="U105" s="23">
        <v>1</v>
      </c>
      <c r="V105" s="23">
        <v>1</v>
      </c>
      <c r="W105" s="23">
        <v>1</v>
      </c>
      <c r="X105" s="36">
        <v>0.66700000000000004</v>
      </c>
      <c r="Y105" s="24">
        <v>7.5929735506278379E-2</v>
      </c>
      <c r="Z105" s="43">
        <v>34319151000</v>
      </c>
      <c r="AA105" s="22">
        <v>0</v>
      </c>
      <c r="AB105" s="22">
        <v>1</v>
      </c>
      <c r="AC105" s="23">
        <v>17</v>
      </c>
      <c r="AD105" s="23">
        <v>17</v>
      </c>
      <c r="AE105" s="24"/>
      <c r="AF105" s="24"/>
      <c r="AG105" s="24">
        <v>1</v>
      </c>
      <c r="AH105" s="57">
        <v>0.99939999999999996</v>
      </c>
      <c r="AI105" s="57">
        <v>0.47288750000000002</v>
      </c>
      <c r="AJ105" s="107">
        <v>0.364838</v>
      </c>
      <c r="AK105" s="96"/>
      <c r="AL105" s="1"/>
      <c r="AM105" s="2"/>
      <c r="AN105" s="21"/>
      <c r="AO105" s="21"/>
      <c r="AP105" s="21"/>
      <c r="AQ105" s="21"/>
    </row>
    <row r="106" spans="1:43" ht="15.75" customHeight="1">
      <c r="A106" s="14"/>
      <c r="B106" s="15" t="s">
        <v>98</v>
      </c>
      <c r="C106" s="16">
        <v>9</v>
      </c>
      <c r="D106" s="26">
        <v>2015</v>
      </c>
      <c r="E106" s="26"/>
      <c r="F106" s="25">
        <v>0.01</v>
      </c>
      <c r="G106" s="32">
        <v>3.2000000000000001E-2</v>
      </c>
      <c r="H106" s="25">
        <v>0.91400000000000003</v>
      </c>
      <c r="I106" s="25">
        <v>0.92479999999999996</v>
      </c>
      <c r="J106" s="32">
        <v>4.9000000000000002E-2</v>
      </c>
      <c r="K106" s="25">
        <v>0.34300000000000003</v>
      </c>
      <c r="L106" s="25">
        <v>7.0000000000000001E-3</v>
      </c>
      <c r="M106" s="23">
        <v>1</v>
      </c>
      <c r="N106" s="23">
        <v>1</v>
      </c>
      <c r="O106" s="23">
        <v>1</v>
      </c>
      <c r="P106" s="23">
        <v>1</v>
      </c>
      <c r="Q106" s="23">
        <v>1</v>
      </c>
      <c r="R106" s="23">
        <v>1</v>
      </c>
      <c r="S106" s="23">
        <v>1</v>
      </c>
      <c r="T106" s="23">
        <v>1</v>
      </c>
      <c r="U106" s="23">
        <v>1</v>
      </c>
      <c r="V106" s="23">
        <v>1</v>
      </c>
      <c r="W106" s="23">
        <v>1</v>
      </c>
      <c r="X106" s="36">
        <v>0.72899999999999998</v>
      </c>
      <c r="Y106" s="24">
        <v>8.2258368585617067E-2</v>
      </c>
      <c r="Z106" s="43">
        <v>19200000000</v>
      </c>
      <c r="AA106" s="22">
        <v>0</v>
      </c>
      <c r="AB106" s="22">
        <v>1</v>
      </c>
      <c r="AC106" s="23">
        <v>15</v>
      </c>
      <c r="AD106" s="23">
        <v>15</v>
      </c>
      <c r="AE106" s="24"/>
      <c r="AF106" s="24"/>
      <c r="AG106" s="24">
        <v>1</v>
      </c>
      <c r="AH106" s="57">
        <v>0.99970000000000003</v>
      </c>
      <c r="AI106" s="57">
        <v>0.45336133000000001</v>
      </c>
      <c r="AJ106" s="107">
        <v>0.28795500000000002</v>
      </c>
      <c r="AK106" s="96"/>
      <c r="AL106" s="1"/>
      <c r="AM106" s="2"/>
      <c r="AN106" s="21"/>
      <c r="AO106" s="21"/>
      <c r="AP106" s="21"/>
      <c r="AQ106" s="21"/>
    </row>
    <row r="107" spans="1:43" ht="15.75" customHeight="1">
      <c r="A107" s="14"/>
      <c r="B107" s="15" t="s">
        <v>98</v>
      </c>
      <c r="C107" s="16">
        <v>9</v>
      </c>
      <c r="D107" s="26">
        <v>2016</v>
      </c>
      <c r="E107" s="26"/>
      <c r="F107" s="25">
        <v>1.0999999999999999E-2</v>
      </c>
      <c r="G107" s="32">
        <v>3.5000000000000003E-2</v>
      </c>
      <c r="H107" s="25">
        <v>0.90100000000000002</v>
      </c>
      <c r="I107" s="25">
        <v>0.92179999999999995</v>
      </c>
      <c r="J107" s="32">
        <v>4.8000000000000001E-2</v>
      </c>
      <c r="K107" s="25">
        <v>0.36699999999999999</v>
      </c>
      <c r="L107" s="25">
        <v>5.0000000000000001E-3</v>
      </c>
      <c r="M107" s="23">
        <v>1</v>
      </c>
      <c r="N107" s="23">
        <v>1</v>
      </c>
      <c r="O107" s="23">
        <v>1</v>
      </c>
      <c r="P107" s="23">
        <v>1</v>
      </c>
      <c r="Q107" s="23">
        <v>1</v>
      </c>
      <c r="R107" s="23">
        <v>1</v>
      </c>
      <c r="S107" s="23">
        <v>1</v>
      </c>
      <c r="T107" s="23">
        <v>1</v>
      </c>
      <c r="U107" s="23">
        <v>1</v>
      </c>
      <c r="V107" s="23">
        <v>1</v>
      </c>
      <c r="W107" s="23">
        <v>1</v>
      </c>
      <c r="X107" s="116" t="s">
        <v>180</v>
      </c>
      <c r="Y107" s="24">
        <v>4.0875970854351823E-2</v>
      </c>
      <c r="Z107" s="43">
        <v>21500000000</v>
      </c>
      <c r="AA107" s="22">
        <v>0</v>
      </c>
      <c r="AB107" s="22">
        <v>1</v>
      </c>
      <c r="AC107" s="23">
        <v>14</v>
      </c>
      <c r="AD107" s="23">
        <v>14</v>
      </c>
      <c r="AE107" s="24"/>
      <c r="AF107" s="24"/>
      <c r="AG107" s="24">
        <v>1</v>
      </c>
      <c r="AH107" s="57">
        <v>0.99909999999999999</v>
      </c>
      <c r="AI107" s="57">
        <v>0.47499999999999998</v>
      </c>
      <c r="AJ107" s="107">
        <v>0.285138</v>
      </c>
      <c r="AK107" s="96"/>
      <c r="AL107" s="1"/>
      <c r="AM107" s="2"/>
      <c r="AN107" s="21"/>
      <c r="AO107" s="21"/>
      <c r="AP107" s="21"/>
      <c r="AQ107" s="21"/>
    </row>
    <row r="108" spans="1:43" ht="15.75" customHeight="1">
      <c r="A108" s="14"/>
      <c r="B108" s="15" t="s">
        <v>98</v>
      </c>
      <c r="C108" s="16">
        <v>9</v>
      </c>
      <c r="D108" s="26">
        <v>2017</v>
      </c>
      <c r="E108" s="26"/>
      <c r="F108" s="25">
        <v>1.2E-2</v>
      </c>
      <c r="G108" s="32">
        <v>4.2999999999999997E-2</v>
      </c>
      <c r="H108" s="25">
        <v>0.88500000000000001</v>
      </c>
      <c r="I108" s="25">
        <v>0.92559999999999998</v>
      </c>
      <c r="J108" s="32">
        <v>4.2999999999999997E-2</v>
      </c>
      <c r="K108" s="25">
        <v>0.29389999999999999</v>
      </c>
      <c r="L108" s="25">
        <v>3.2000000000000002E-3</v>
      </c>
      <c r="M108" s="23">
        <v>1</v>
      </c>
      <c r="N108" s="23">
        <v>1</v>
      </c>
      <c r="O108" s="23">
        <v>1</v>
      </c>
      <c r="P108" s="23">
        <v>1</v>
      </c>
      <c r="Q108" s="23">
        <v>1</v>
      </c>
      <c r="R108" s="23">
        <v>1</v>
      </c>
      <c r="S108" s="23">
        <v>1</v>
      </c>
      <c r="T108" s="23">
        <v>1</v>
      </c>
      <c r="U108" s="23">
        <v>1</v>
      </c>
      <c r="V108" s="23">
        <v>1</v>
      </c>
      <c r="W108" s="23">
        <v>1</v>
      </c>
      <c r="X108" s="116" t="s">
        <v>190</v>
      </c>
      <c r="Y108" s="24">
        <v>3.8012480708582166E-2</v>
      </c>
      <c r="Z108" s="43">
        <v>105777224</v>
      </c>
      <c r="AA108" s="22">
        <v>0</v>
      </c>
      <c r="AB108" s="22">
        <v>1</v>
      </c>
      <c r="AC108" s="23">
        <v>14</v>
      </c>
      <c r="AD108" s="23">
        <v>14</v>
      </c>
      <c r="AE108" s="24"/>
      <c r="AF108" s="24"/>
      <c r="AG108" s="24">
        <v>1</v>
      </c>
      <c r="AH108" s="57">
        <v>0.99990000000000001</v>
      </c>
      <c r="AI108" s="57">
        <v>0.48470000000000002</v>
      </c>
      <c r="AJ108" s="107">
        <v>0.29723899999999998</v>
      </c>
      <c r="AK108" s="96"/>
      <c r="AL108" s="1"/>
      <c r="AM108" s="2"/>
      <c r="AN108" s="21"/>
      <c r="AO108" s="21"/>
      <c r="AP108" s="21"/>
      <c r="AQ108" s="21"/>
    </row>
    <row r="109" spans="1:43" ht="15.75" customHeight="1">
      <c r="A109" s="14"/>
      <c r="B109" s="15" t="s">
        <v>98</v>
      </c>
      <c r="C109" s="16">
        <v>9</v>
      </c>
      <c r="D109" s="26">
        <v>2018</v>
      </c>
      <c r="E109" s="26"/>
      <c r="F109" s="25">
        <v>1.2E-2</v>
      </c>
      <c r="G109" s="32">
        <v>0.05</v>
      </c>
      <c r="H109" s="25">
        <v>0.89</v>
      </c>
      <c r="I109" s="25">
        <v>0.874</v>
      </c>
      <c r="J109" s="32">
        <v>4.3999999999999997E-2</v>
      </c>
      <c r="K109" s="25">
        <v>0.24299999999999999</v>
      </c>
      <c r="L109" s="25">
        <v>3.5000000000000001E-3</v>
      </c>
      <c r="M109" s="23">
        <v>1</v>
      </c>
      <c r="N109" s="23">
        <v>1</v>
      </c>
      <c r="O109" s="23">
        <v>1</v>
      </c>
      <c r="P109" s="23">
        <v>1</v>
      </c>
      <c r="Q109" s="23">
        <v>1</v>
      </c>
      <c r="R109" s="23">
        <v>1</v>
      </c>
      <c r="S109" s="23">
        <v>1</v>
      </c>
      <c r="T109" s="23">
        <v>1</v>
      </c>
      <c r="U109" s="23">
        <v>1</v>
      </c>
      <c r="V109" s="23">
        <v>1</v>
      </c>
      <c r="W109" s="23">
        <v>1</v>
      </c>
      <c r="X109" s="116" t="s">
        <v>191</v>
      </c>
      <c r="Y109" s="24">
        <v>3.5093431483578713E-2</v>
      </c>
      <c r="Z109" s="43">
        <v>123718361</v>
      </c>
      <c r="AA109" s="22">
        <v>0</v>
      </c>
      <c r="AB109" s="22">
        <v>1</v>
      </c>
      <c r="AC109" s="23">
        <v>14</v>
      </c>
      <c r="AD109" s="23">
        <v>14</v>
      </c>
      <c r="AE109" s="24"/>
      <c r="AF109" s="24"/>
      <c r="AG109" s="24">
        <v>1</v>
      </c>
      <c r="AH109" s="57">
        <v>0.99990000000000001</v>
      </c>
      <c r="AI109" s="57">
        <v>0.53620000000000001</v>
      </c>
      <c r="AJ109" s="107">
        <v>0.34632099999999999</v>
      </c>
      <c r="AK109" s="96"/>
      <c r="AL109" s="1"/>
      <c r="AM109" s="2"/>
      <c r="AN109" s="21"/>
      <c r="AO109" s="21"/>
      <c r="AP109" s="21"/>
      <c r="AQ109" s="21"/>
    </row>
    <row r="110" spans="1:43" ht="15.75" customHeight="1">
      <c r="A110" s="14"/>
      <c r="B110" s="15" t="s">
        <v>98</v>
      </c>
      <c r="C110" s="16">
        <v>9</v>
      </c>
      <c r="D110" s="26">
        <v>2019</v>
      </c>
      <c r="E110" s="26"/>
      <c r="F110" s="25">
        <v>1.15E-2</v>
      </c>
      <c r="G110" s="32">
        <v>0.04</v>
      </c>
      <c r="H110" s="25">
        <v>0.91</v>
      </c>
      <c r="I110" s="25">
        <v>0.876</v>
      </c>
      <c r="J110" s="32">
        <v>4.2999999999999997E-2</v>
      </c>
      <c r="K110" s="25">
        <v>0.38300000000000001</v>
      </c>
      <c r="L110" s="25">
        <v>5.7999999999999996E-3</v>
      </c>
      <c r="M110" s="23">
        <v>1</v>
      </c>
      <c r="N110" s="23">
        <v>1</v>
      </c>
      <c r="O110" s="23">
        <v>1</v>
      </c>
      <c r="P110" s="23">
        <v>1</v>
      </c>
      <c r="Q110" s="23">
        <v>1</v>
      </c>
      <c r="R110" s="23">
        <v>1</v>
      </c>
      <c r="S110" s="23">
        <v>1</v>
      </c>
      <c r="T110" s="23">
        <v>1</v>
      </c>
      <c r="U110" s="23">
        <v>1</v>
      </c>
      <c r="V110" s="23">
        <v>1</v>
      </c>
      <c r="W110" s="23">
        <v>1</v>
      </c>
      <c r="X110" s="116" t="s">
        <v>192</v>
      </c>
      <c r="Y110" s="24">
        <v>3.6968405447975541E-2</v>
      </c>
      <c r="Z110" s="43">
        <v>142363932</v>
      </c>
      <c r="AA110" s="22">
        <v>0</v>
      </c>
      <c r="AB110" s="22">
        <v>1</v>
      </c>
      <c r="AC110" s="23">
        <v>12</v>
      </c>
      <c r="AD110" s="23">
        <v>12</v>
      </c>
      <c r="AE110" s="24"/>
      <c r="AF110" s="24"/>
      <c r="AG110" s="24">
        <v>1</v>
      </c>
      <c r="AH110" s="57">
        <v>0.99990000000000001</v>
      </c>
      <c r="AI110" s="57">
        <v>0.60050000000000003</v>
      </c>
      <c r="AJ110" s="104" t="s">
        <v>162</v>
      </c>
      <c r="AK110" s="96"/>
      <c r="AL110" s="1"/>
      <c r="AM110" s="2"/>
      <c r="AN110" s="21"/>
      <c r="AO110" s="21"/>
      <c r="AP110" s="21"/>
      <c r="AQ110" s="21"/>
    </row>
    <row r="111" spans="1:43" ht="15.75" hidden="1" customHeight="1">
      <c r="A111" s="14"/>
      <c r="B111" s="15" t="s">
        <v>98</v>
      </c>
      <c r="C111" s="16">
        <v>9</v>
      </c>
      <c r="D111" s="26">
        <v>2020</v>
      </c>
      <c r="E111" s="26"/>
      <c r="F111" s="25">
        <v>1.09E-2</v>
      </c>
      <c r="G111" s="25"/>
      <c r="H111" s="25">
        <v>0.81320000000000003</v>
      </c>
      <c r="I111" s="25">
        <v>0.86280000000000001</v>
      </c>
      <c r="J111" s="25"/>
      <c r="K111" s="25">
        <v>0.4526</v>
      </c>
      <c r="L111" s="25">
        <v>5.0000000000000001E-3</v>
      </c>
      <c r="M111" s="24">
        <v>1</v>
      </c>
      <c r="N111" s="20"/>
      <c r="O111" s="20"/>
      <c r="P111" s="20"/>
      <c r="Q111" s="20"/>
      <c r="R111" s="20"/>
      <c r="S111" s="20"/>
      <c r="T111" s="20"/>
      <c r="U111" s="20"/>
      <c r="V111" s="20"/>
      <c r="W111" s="20"/>
      <c r="X111" s="27">
        <v>0.81632653061224492</v>
      </c>
      <c r="Y111" s="24">
        <v>4.1439050235075055E-2</v>
      </c>
      <c r="Z111" s="42"/>
      <c r="AA111" s="34"/>
      <c r="AB111" s="34"/>
      <c r="AC111" s="24"/>
      <c r="AD111" s="24"/>
      <c r="AE111" s="24"/>
      <c r="AF111" s="24"/>
      <c r="AG111" s="24"/>
      <c r="AH111" s="59"/>
      <c r="AI111" s="59"/>
      <c r="AJ111" s="104" t="e">
        <f>#REF!</f>
        <v>#REF!</v>
      </c>
      <c r="AK111" s="96"/>
      <c r="AL111" s="1"/>
      <c r="AM111" s="2"/>
      <c r="AN111" s="21"/>
      <c r="AO111" s="21"/>
      <c r="AP111" s="21"/>
      <c r="AQ111" s="21"/>
    </row>
    <row r="112" spans="1:43" ht="15.75" customHeight="1">
      <c r="A112" s="14">
        <v>10</v>
      </c>
      <c r="B112" s="15" t="s">
        <v>100</v>
      </c>
      <c r="C112" s="16">
        <v>10</v>
      </c>
      <c r="D112" s="26">
        <v>2008</v>
      </c>
      <c r="E112" s="26" t="s">
        <v>116</v>
      </c>
      <c r="F112" s="18">
        <v>-1.14E-2</v>
      </c>
      <c r="G112" s="18">
        <v>-8.2100000000000006E-2</v>
      </c>
      <c r="H112" s="18">
        <v>0.84960000000000002</v>
      </c>
      <c r="I112" s="25">
        <v>1.8784000000000001</v>
      </c>
      <c r="J112" s="25">
        <v>-8.6E-3</v>
      </c>
      <c r="K112" s="25">
        <v>0.37190000000000001</v>
      </c>
      <c r="L112" s="25">
        <v>2.2700000000000001E-2</v>
      </c>
      <c r="M112" s="134" t="s">
        <v>119</v>
      </c>
      <c r="N112" s="129"/>
      <c r="O112" s="129"/>
      <c r="P112" s="129"/>
      <c r="Q112" s="129"/>
      <c r="R112" s="129"/>
      <c r="S112" s="129"/>
      <c r="T112" s="129"/>
      <c r="U112" s="129"/>
      <c r="V112" s="129"/>
      <c r="W112" s="130"/>
      <c r="X112" s="70">
        <v>0.1666667</v>
      </c>
      <c r="Y112" s="24"/>
      <c r="Z112" s="42">
        <v>0</v>
      </c>
      <c r="AA112" s="22">
        <v>1</v>
      </c>
      <c r="AB112" s="22">
        <v>1</v>
      </c>
      <c r="AC112" s="45">
        <v>12</v>
      </c>
      <c r="AD112" s="45">
        <v>12</v>
      </c>
      <c r="AE112" s="24">
        <v>12</v>
      </c>
      <c r="AF112" s="24"/>
      <c r="AG112" s="24">
        <v>1</v>
      </c>
      <c r="AH112" s="58">
        <v>0.99719999999999998</v>
      </c>
      <c r="AI112" s="58">
        <v>0.2044</v>
      </c>
      <c r="AJ112" s="104" t="s">
        <v>163</v>
      </c>
      <c r="AK112" s="96"/>
      <c r="AL112" s="1"/>
      <c r="AM112" s="2"/>
      <c r="AN112" s="21"/>
      <c r="AO112" s="21"/>
      <c r="AP112" s="21"/>
      <c r="AQ112" s="21"/>
    </row>
    <row r="113" spans="1:43" ht="15.75" customHeight="1">
      <c r="B113" s="15" t="s">
        <v>100</v>
      </c>
      <c r="C113" s="16">
        <v>10</v>
      </c>
      <c r="D113" s="26">
        <v>2009</v>
      </c>
      <c r="E113" s="26"/>
      <c r="F113" s="18">
        <v>5.3E-3</v>
      </c>
      <c r="G113" s="18">
        <v>3.3500000000000002E-2</v>
      </c>
      <c r="H113" s="18">
        <v>1.2094</v>
      </c>
      <c r="I113" s="25">
        <v>0.97499999999999998</v>
      </c>
      <c r="J113" s="25">
        <v>7.8E-2</v>
      </c>
      <c r="K113" s="25">
        <v>0.1794</v>
      </c>
      <c r="L113" s="25">
        <v>1.0699999999999999E-2</v>
      </c>
      <c r="M113" s="135"/>
      <c r="N113" s="136"/>
      <c r="O113" s="136"/>
      <c r="P113" s="136"/>
      <c r="Q113" s="136"/>
      <c r="R113" s="136"/>
      <c r="S113" s="136"/>
      <c r="T113" s="136"/>
      <c r="U113" s="136"/>
      <c r="V113" s="136"/>
      <c r="W113" s="137"/>
      <c r="X113" s="70">
        <v>0.18179999999999999</v>
      </c>
      <c r="Y113" s="24"/>
      <c r="Z113" s="42">
        <v>0</v>
      </c>
      <c r="AA113" s="22">
        <v>1</v>
      </c>
      <c r="AB113" s="22">
        <v>1</v>
      </c>
      <c r="AC113" s="79">
        <v>12</v>
      </c>
      <c r="AD113" s="79">
        <v>12</v>
      </c>
      <c r="AE113" s="79">
        <v>12</v>
      </c>
      <c r="AF113" s="24"/>
      <c r="AG113" s="24">
        <v>1</v>
      </c>
      <c r="AH113" s="58">
        <v>0.99980000000000002</v>
      </c>
      <c r="AI113" s="58">
        <v>0.25259999999999999</v>
      </c>
      <c r="AJ113" s="104" t="s">
        <v>164</v>
      </c>
      <c r="AK113" s="96"/>
      <c r="AL113" s="1"/>
      <c r="AM113" s="2"/>
      <c r="AN113" s="21"/>
      <c r="AO113" s="21"/>
      <c r="AP113" s="21"/>
      <c r="AQ113" s="21"/>
    </row>
    <row r="114" spans="1:43" ht="15.75" customHeight="1">
      <c r="A114" s="14"/>
      <c r="B114" s="15" t="s">
        <v>100</v>
      </c>
      <c r="C114" s="16">
        <v>10</v>
      </c>
      <c r="D114" s="26">
        <v>2010</v>
      </c>
      <c r="E114" s="26"/>
      <c r="F114" s="18">
        <v>3.5000000000000001E-3</v>
      </c>
      <c r="G114" s="18">
        <v>1.2800000000000001E-2</v>
      </c>
      <c r="H114" s="18">
        <v>0.95820000000000005</v>
      </c>
      <c r="I114" s="25">
        <v>0.98770000000000002</v>
      </c>
      <c r="J114" s="25">
        <v>7.4999999999999997E-2</v>
      </c>
      <c r="K114" s="25">
        <v>0.20619999999999999</v>
      </c>
      <c r="L114" s="25">
        <v>2.1399999999999999E-2</v>
      </c>
      <c r="M114" s="131"/>
      <c r="N114" s="132"/>
      <c r="O114" s="132"/>
      <c r="P114" s="132"/>
      <c r="Q114" s="132"/>
      <c r="R114" s="132"/>
      <c r="S114" s="132"/>
      <c r="T114" s="132"/>
      <c r="U114" s="132"/>
      <c r="V114" s="132"/>
      <c r="W114" s="133"/>
      <c r="X114" s="70">
        <v>0.18179999999999999</v>
      </c>
      <c r="Y114" s="24"/>
      <c r="Z114" s="42">
        <v>0</v>
      </c>
      <c r="AA114" s="22">
        <v>0</v>
      </c>
      <c r="AB114" s="22">
        <v>1</v>
      </c>
      <c r="AC114" s="80"/>
      <c r="AD114" s="80"/>
      <c r="AE114" s="23"/>
      <c r="AF114" s="24"/>
      <c r="AG114" s="24"/>
      <c r="AH114" s="58">
        <v>0.99990000000000001</v>
      </c>
      <c r="AI114" s="58">
        <v>0.10050000000000001</v>
      </c>
      <c r="AJ114" s="106">
        <v>5.0930999999999997E-2</v>
      </c>
      <c r="AK114" s="96"/>
      <c r="AL114" s="1"/>
      <c r="AM114" s="2"/>
      <c r="AN114" s="21"/>
      <c r="AO114" s="21"/>
      <c r="AP114" s="21"/>
      <c r="AQ114" s="21"/>
    </row>
    <row r="115" spans="1:43" ht="15.75" customHeight="1">
      <c r="A115" s="14"/>
      <c r="B115" s="15" t="s">
        <v>100</v>
      </c>
      <c r="C115" s="16">
        <v>10</v>
      </c>
      <c r="D115" s="26">
        <v>2011</v>
      </c>
      <c r="E115" s="26"/>
      <c r="F115" s="18">
        <v>2E-3</v>
      </c>
      <c r="G115" s="18">
        <v>1.1900000000000001E-2</v>
      </c>
      <c r="H115" s="18">
        <v>0.90549999999999997</v>
      </c>
      <c r="I115" s="25">
        <v>0.99560000000000004</v>
      </c>
      <c r="J115" s="25">
        <v>6.9900000000000004E-2</v>
      </c>
      <c r="K115" s="25">
        <v>0.1474</v>
      </c>
      <c r="L115" s="25">
        <v>2.12E-2</v>
      </c>
      <c r="M115" s="24">
        <v>2</v>
      </c>
      <c r="N115" s="24">
        <v>2</v>
      </c>
      <c r="O115" s="24">
        <v>2</v>
      </c>
      <c r="P115" s="24">
        <v>2</v>
      </c>
      <c r="Q115" s="24">
        <v>2</v>
      </c>
      <c r="R115" s="24">
        <v>2</v>
      </c>
      <c r="S115" s="24">
        <v>2</v>
      </c>
      <c r="T115" s="24">
        <v>2</v>
      </c>
      <c r="U115" s="24">
        <v>2</v>
      </c>
      <c r="V115" s="24">
        <v>2</v>
      </c>
      <c r="W115" s="24">
        <v>2</v>
      </c>
      <c r="X115" s="70">
        <v>0.19009999999999999</v>
      </c>
      <c r="Y115" s="24"/>
      <c r="Z115" s="42">
        <v>0</v>
      </c>
      <c r="AA115" s="22">
        <v>0</v>
      </c>
      <c r="AB115" s="22">
        <v>1</v>
      </c>
      <c r="AC115" s="23">
        <v>11</v>
      </c>
      <c r="AD115" s="23">
        <v>11</v>
      </c>
      <c r="AE115" s="23"/>
      <c r="AF115" s="24"/>
      <c r="AG115" s="24">
        <v>1</v>
      </c>
      <c r="AH115" s="58">
        <v>0.99860000000000004</v>
      </c>
      <c r="AI115" s="58">
        <v>0.3306</v>
      </c>
      <c r="AJ115" s="104" t="s">
        <v>165</v>
      </c>
      <c r="AK115" s="96"/>
      <c r="AL115" s="1"/>
      <c r="AM115" s="2"/>
      <c r="AN115" s="21"/>
      <c r="AO115" s="21"/>
      <c r="AP115" s="21"/>
      <c r="AQ115" s="21"/>
    </row>
    <row r="116" spans="1:43" ht="15.75" customHeight="1">
      <c r="A116" s="14"/>
      <c r="B116" s="15" t="s">
        <v>100</v>
      </c>
      <c r="C116" s="16">
        <v>10</v>
      </c>
      <c r="D116" s="26">
        <v>2012</v>
      </c>
      <c r="E116" s="26"/>
      <c r="F116" s="18">
        <v>1.1900000000000001E-2</v>
      </c>
      <c r="G116" s="18">
        <v>0.1041</v>
      </c>
      <c r="H116" s="18">
        <v>1.0096000000000001</v>
      </c>
      <c r="I116" s="25">
        <v>0.86629999999999996</v>
      </c>
      <c r="J116" s="25">
        <v>7.1499999999999994E-2</v>
      </c>
      <c r="K116" s="25">
        <v>0.1135</v>
      </c>
      <c r="L116" s="25">
        <v>1.84E-2</v>
      </c>
      <c r="M116" s="24">
        <v>2</v>
      </c>
      <c r="N116" s="24">
        <v>2</v>
      </c>
      <c r="O116" s="24">
        <v>2</v>
      </c>
      <c r="P116" s="24">
        <v>2</v>
      </c>
      <c r="Q116" s="24">
        <v>2</v>
      </c>
      <c r="R116" s="24">
        <v>2</v>
      </c>
      <c r="S116" s="24">
        <v>2</v>
      </c>
      <c r="T116" s="24">
        <v>2</v>
      </c>
      <c r="U116" s="24">
        <v>2</v>
      </c>
      <c r="V116" s="24">
        <v>2</v>
      </c>
      <c r="W116" s="24">
        <v>2</v>
      </c>
      <c r="X116" s="70">
        <v>0.63300000000000001</v>
      </c>
      <c r="Y116" s="24"/>
      <c r="Z116" s="42">
        <v>0</v>
      </c>
      <c r="AA116" s="22">
        <v>0</v>
      </c>
      <c r="AB116" s="22">
        <v>1</v>
      </c>
      <c r="AC116" s="23">
        <v>14</v>
      </c>
      <c r="AD116" s="23">
        <v>14</v>
      </c>
      <c r="AE116" s="23"/>
      <c r="AF116" s="24"/>
      <c r="AG116" s="24">
        <v>1</v>
      </c>
      <c r="AH116" s="58">
        <v>0.99970000000000003</v>
      </c>
      <c r="AI116" s="58">
        <v>0.31940000000000002</v>
      </c>
      <c r="AJ116" s="104" t="s">
        <v>166</v>
      </c>
      <c r="AK116" s="96"/>
      <c r="AL116" s="1"/>
      <c r="AM116" s="2"/>
      <c r="AN116" s="21"/>
      <c r="AO116" s="21"/>
      <c r="AP116" s="21"/>
      <c r="AQ116" s="21"/>
    </row>
    <row r="117" spans="1:43" ht="15.75" customHeight="1">
      <c r="A117" s="14"/>
      <c r="B117" s="15" t="s">
        <v>100</v>
      </c>
      <c r="C117" s="16">
        <v>10</v>
      </c>
      <c r="D117" s="26">
        <v>2013</v>
      </c>
      <c r="E117" s="26"/>
      <c r="F117" s="25">
        <v>1.15E-2</v>
      </c>
      <c r="G117" s="25">
        <v>0.10199999999999999</v>
      </c>
      <c r="H117" s="25">
        <v>1.0269999999999999</v>
      </c>
      <c r="I117" s="25">
        <v>0.9042</v>
      </c>
      <c r="J117" s="25">
        <v>6.2700000000000006E-2</v>
      </c>
      <c r="K117" s="25">
        <v>0.1449</v>
      </c>
      <c r="L117" s="25">
        <v>3.2599999999999997E-2</v>
      </c>
      <c r="M117" s="24">
        <v>2</v>
      </c>
      <c r="N117" s="24">
        <v>2</v>
      </c>
      <c r="O117" s="24">
        <v>2</v>
      </c>
      <c r="P117" s="24">
        <v>2</v>
      </c>
      <c r="Q117" s="24">
        <v>2</v>
      </c>
      <c r="R117" s="24">
        <v>2</v>
      </c>
      <c r="S117" s="24">
        <v>2</v>
      </c>
      <c r="T117" s="24">
        <v>2</v>
      </c>
      <c r="U117" s="24">
        <v>2</v>
      </c>
      <c r="V117" s="24">
        <v>2</v>
      </c>
      <c r="W117" s="24">
        <v>2</v>
      </c>
      <c r="X117" s="27">
        <v>0.81632653061224492</v>
      </c>
      <c r="Y117" s="28">
        <v>9.2465063321398561E-2</v>
      </c>
      <c r="Z117" s="42">
        <v>0</v>
      </c>
      <c r="AA117" s="22">
        <v>0</v>
      </c>
      <c r="AB117" s="22">
        <v>1</v>
      </c>
      <c r="AC117" s="23">
        <v>13</v>
      </c>
      <c r="AD117" s="23">
        <v>13</v>
      </c>
      <c r="AE117" s="23"/>
      <c r="AF117" s="24"/>
      <c r="AG117" s="24">
        <v>1</v>
      </c>
      <c r="AH117" s="58">
        <v>0.99980000000000002</v>
      </c>
      <c r="AI117" s="58">
        <v>0.33298370999999999</v>
      </c>
      <c r="AJ117" s="104" t="s">
        <v>167</v>
      </c>
      <c r="AK117" s="96"/>
      <c r="AL117" s="1"/>
      <c r="AM117" s="2"/>
      <c r="AN117" s="21"/>
      <c r="AO117" s="21"/>
      <c r="AP117" s="21"/>
      <c r="AQ117" s="21"/>
    </row>
    <row r="118" spans="1:43" ht="15.75" customHeight="1">
      <c r="A118" s="14"/>
      <c r="B118" s="15" t="s">
        <v>100</v>
      </c>
      <c r="C118" s="16">
        <v>10</v>
      </c>
      <c r="D118" s="26">
        <v>2014</v>
      </c>
      <c r="E118" s="26"/>
      <c r="F118" s="25">
        <v>8.0000000000000004E-4</v>
      </c>
      <c r="G118" s="32">
        <v>4.4000000000000003E-3</v>
      </c>
      <c r="H118" s="25">
        <v>0.93899999999999995</v>
      </c>
      <c r="I118" s="25">
        <v>0.99470000000000003</v>
      </c>
      <c r="J118" s="32">
        <v>6.0400000000000002E-2</v>
      </c>
      <c r="K118" s="25">
        <v>0.12889999999999999</v>
      </c>
      <c r="L118" s="25">
        <v>3.6499999999999998E-2</v>
      </c>
      <c r="M118" s="23">
        <v>2</v>
      </c>
      <c r="N118" s="23">
        <v>2</v>
      </c>
      <c r="O118" s="23">
        <v>2</v>
      </c>
      <c r="P118" s="23">
        <v>2</v>
      </c>
      <c r="Q118" s="23">
        <v>2</v>
      </c>
      <c r="R118" s="23">
        <v>2</v>
      </c>
      <c r="S118" s="23">
        <v>2</v>
      </c>
      <c r="T118" s="23">
        <v>2</v>
      </c>
      <c r="U118" s="23">
        <v>2</v>
      </c>
      <c r="V118" s="23">
        <v>2</v>
      </c>
      <c r="W118" s="23">
        <v>2</v>
      </c>
      <c r="X118" s="27">
        <v>0.81632653061224492</v>
      </c>
      <c r="Y118" s="28">
        <v>9.7438686860250631E-2</v>
      </c>
      <c r="Z118" s="42">
        <v>0</v>
      </c>
      <c r="AA118" s="22">
        <v>0</v>
      </c>
      <c r="AB118" s="22">
        <v>1</v>
      </c>
      <c r="AC118" s="23">
        <v>11</v>
      </c>
      <c r="AD118" s="23">
        <v>11</v>
      </c>
      <c r="AE118" s="23"/>
      <c r="AF118" s="24"/>
      <c r="AG118" s="24">
        <v>1</v>
      </c>
      <c r="AH118" s="57">
        <v>0.99909999999999999</v>
      </c>
      <c r="AI118" s="57">
        <v>0.39398607000000002</v>
      </c>
      <c r="AJ118" s="106">
        <v>0.162388</v>
      </c>
      <c r="AK118" s="96"/>
      <c r="AL118" s="1"/>
      <c r="AM118" s="2"/>
      <c r="AN118" s="21"/>
      <c r="AO118" s="21"/>
      <c r="AP118" s="21"/>
      <c r="AQ118" s="21"/>
    </row>
    <row r="119" spans="1:43" ht="15.75" customHeight="1">
      <c r="A119" s="14"/>
      <c r="B119" s="15" t="s">
        <v>100</v>
      </c>
      <c r="C119" s="16">
        <v>10</v>
      </c>
      <c r="D119" s="26">
        <v>2015</v>
      </c>
      <c r="E119" s="26"/>
      <c r="F119" s="25">
        <v>7.6E-3</v>
      </c>
      <c r="G119" s="32">
        <v>6.2E-2</v>
      </c>
      <c r="H119" s="25">
        <v>0.84160000000000001</v>
      </c>
      <c r="I119" s="25">
        <v>0.93789999999999996</v>
      </c>
      <c r="J119" s="32">
        <v>6.6600000000000006E-2</v>
      </c>
      <c r="K119" s="25">
        <v>0.1394</v>
      </c>
      <c r="L119" s="25">
        <v>3.8899999999999997E-2</v>
      </c>
      <c r="M119" s="23">
        <v>2</v>
      </c>
      <c r="N119" s="23">
        <v>2</v>
      </c>
      <c r="O119" s="23">
        <v>2</v>
      </c>
      <c r="P119" s="23">
        <v>2</v>
      </c>
      <c r="Q119" s="23">
        <v>2</v>
      </c>
      <c r="R119" s="23">
        <v>2</v>
      </c>
      <c r="S119" s="23">
        <v>2</v>
      </c>
      <c r="T119" s="23">
        <v>2</v>
      </c>
      <c r="U119" s="23">
        <v>2</v>
      </c>
      <c r="V119" s="23">
        <v>2</v>
      </c>
      <c r="W119" s="23">
        <v>2</v>
      </c>
      <c r="X119" s="27">
        <v>0.81632653061224492</v>
      </c>
      <c r="Y119" s="28">
        <v>9.5751202044771777E-2</v>
      </c>
      <c r="Z119" s="42">
        <v>0</v>
      </c>
      <c r="AA119" s="22">
        <v>0</v>
      </c>
      <c r="AB119" s="22">
        <v>1</v>
      </c>
      <c r="AC119" s="23">
        <v>16</v>
      </c>
      <c r="AD119" s="23">
        <v>16</v>
      </c>
      <c r="AE119" s="23"/>
      <c r="AF119" s="24"/>
      <c r="AG119" s="24">
        <v>1</v>
      </c>
      <c r="AH119" s="57">
        <v>0.99909999999999999</v>
      </c>
      <c r="AI119" s="57">
        <v>0.48099499000000001</v>
      </c>
      <c r="AJ119" s="106">
        <v>1.0661700000000001</v>
      </c>
      <c r="AK119" s="96"/>
      <c r="AL119" s="1"/>
      <c r="AM119" s="2"/>
      <c r="AN119" s="21"/>
      <c r="AO119" s="21"/>
      <c r="AP119" s="21"/>
      <c r="AQ119" s="21"/>
    </row>
    <row r="120" spans="1:43" ht="15.75" customHeight="1">
      <c r="A120" s="14"/>
      <c r="B120" s="15" t="s">
        <v>100</v>
      </c>
      <c r="C120" s="16">
        <v>10</v>
      </c>
      <c r="D120" s="26">
        <v>2016</v>
      </c>
      <c r="E120" s="26"/>
      <c r="F120" s="25">
        <v>9.4999999999999998E-3</v>
      </c>
      <c r="G120" s="32">
        <v>7.3999999999999996E-2</v>
      </c>
      <c r="H120" s="25">
        <v>0.81420000000000003</v>
      </c>
      <c r="I120" s="25">
        <v>0.9133</v>
      </c>
      <c r="J120" s="32">
        <v>6.3700000000000007E-2</v>
      </c>
      <c r="K120" s="25">
        <v>0.20630000000000001</v>
      </c>
      <c r="L120" s="25">
        <v>3.1899999999999998E-2</v>
      </c>
      <c r="M120" s="23">
        <v>2</v>
      </c>
      <c r="N120" s="23">
        <v>2</v>
      </c>
      <c r="O120" s="23">
        <v>2</v>
      </c>
      <c r="P120" s="23">
        <v>2</v>
      </c>
      <c r="Q120" s="23">
        <v>2</v>
      </c>
      <c r="R120" s="23">
        <v>2</v>
      </c>
      <c r="S120" s="23">
        <v>2</v>
      </c>
      <c r="T120" s="23">
        <v>2</v>
      </c>
      <c r="U120" s="23">
        <v>2</v>
      </c>
      <c r="V120" s="23">
        <v>2</v>
      </c>
      <c r="W120" s="23">
        <v>2</v>
      </c>
      <c r="X120" s="118" t="s">
        <v>190</v>
      </c>
      <c r="Y120" s="28">
        <v>8.3347087599872999E-2</v>
      </c>
      <c r="Z120" s="42">
        <v>0</v>
      </c>
      <c r="AA120" s="22">
        <v>0</v>
      </c>
      <c r="AB120" s="22">
        <v>1</v>
      </c>
      <c r="AC120" s="23">
        <v>12</v>
      </c>
      <c r="AD120" s="23">
        <v>12</v>
      </c>
      <c r="AE120" s="23"/>
      <c r="AF120" s="24"/>
      <c r="AG120" s="24">
        <v>1</v>
      </c>
      <c r="AH120" s="57">
        <v>0.99919999999999998</v>
      </c>
      <c r="AI120" s="57">
        <v>0.50900000000000001</v>
      </c>
      <c r="AJ120" s="106">
        <v>1.552449</v>
      </c>
      <c r="AK120" s="96"/>
      <c r="AL120" s="1"/>
      <c r="AM120" s="2"/>
      <c r="AN120" s="21"/>
      <c r="AO120" s="21"/>
      <c r="AP120" s="21"/>
      <c r="AQ120" s="21"/>
    </row>
    <row r="121" spans="1:43" ht="15.75" customHeight="1">
      <c r="A121" s="14"/>
      <c r="B121" s="15" t="s">
        <v>100</v>
      </c>
      <c r="C121" s="16">
        <v>10</v>
      </c>
      <c r="D121" s="26">
        <v>2017</v>
      </c>
      <c r="E121" s="26"/>
      <c r="F121" s="25">
        <v>5.1000000000000004E-3</v>
      </c>
      <c r="G121" s="32">
        <v>4.1000000000000002E-2</v>
      </c>
      <c r="H121" s="25">
        <v>0.71870000000000001</v>
      </c>
      <c r="I121" s="25">
        <v>0.95240000000000002</v>
      </c>
      <c r="J121" s="32">
        <v>5.8400000000000001E-2</v>
      </c>
      <c r="K121" s="25">
        <v>0.2029</v>
      </c>
      <c r="L121" s="25">
        <v>4.7199999999999999E-2</v>
      </c>
      <c r="M121" s="23">
        <v>2</v>
      </c>
      <c r="N121" s="23">
        <v>2</v>
      </c>
      <c r="O121" s="23">
        <v>2</v>
      </c>
      <c r="P121" s="23">
        <v>2</v>
      </c>
      <c r="Q121" s="23">
        <v>2</v>
      </c>
      <c r="R121" s="23">
        <v>2</v>
      </c>
      <c r="S121" s="23">
        <v>2</v>
      </c>
      <c r="T121" s="23">
        <v>2</v>
      </c>
      <c r="U121" s="23">
        <v>2</v>
      </c>
      <c r="V121" s="23">
        <v>2</v>
      </c>
      <c r="W121" s="23">
        <v>2</v>
      </c>
      <c r="X121" s="118" t="s">
        <v>175</v>
      </c>
      <c r="Y121" s="28">
        <v>7.4003346516877636E-2</v>
      </c>
      <c r="Z121" s="42">
        <v>0</v>
      </c>
      <c r="AA121" s="22">
        <v>0</v>
      </c>
      <c r="AB121" s="22">
        <v>1</v>
      </c>
      <c r="AC121" s="23" t="s">
        <v>24</v>
      </c>
      <c r="AD121" s="23">
        <v>14</v>
      </c>
      <c r="AE121" s="23"/>
      <c r="AF121" s="24"/>
      <c r="AG121" s="24">
        <v>1</v>
      </c>
      <c r="AH121" s="57">
        <v>0.99909999999999999</v>
      </c>
      <c r="AI121" s="57">
        <v>0.58899999999999997</v>
      </c>
      <c r="AJ121" s="106">
        <v>0.19857</v>
      </c>
      <c r="AK121" s="96"/>
      <c r="AL121" s="1"/>
      <c r="AM121" s="2"/>
      <c r="AN121" s="21"/>
      <c r="AO121" s="21"/>
      <c r="AP121" s="21"/>
      <c r="AQ121" s="21"/>
    </row>
    <row r="122" spans="1:43" ht="15.75" customHeight="1">
      <c r="A122" s="14"/>
      <c r="B122" s="15" t="s">
        <v>100</v>
      </c>
      <c r="C122" s="16">
        <v>10</v>
      </c>
      <c r="D122" s="26">
        <v>2018</v>
      </c>
      <c r="E122" s="26"/>
      <c r="F122" s="25">
        <v>4.3E-3</v>
      </c>
      <c r="G122" s="32">
        <v>2.4899999999999999E-2</v>
      </c>
      <c r="H122" s="25">
        <v>0.75490000000000002</v>
      </c>
      <c r="I122" s="25">
        <v>0.95320000000000005</v>
      </c>
      <c r="J122" s="32">
        <v>5.3600000000000002E-2</v>
      </c>
      <c r="K122" s="25">
        <v>0.29720000000000002</v>
      </c>
      <c r="L122" s="25">
        <v>4.9700000000000001E-2</v>
      </c>
      <c r="M122" s="23">
        <v>2</v>
      </c>
      <c r="N122" s="23">
        <v>2</v>
      </c>
      <c r="O122" s="23">
        <v>2</v>
      </c>
      <c r="P122" s="23">
        <v>2</v>
      </c>
      <c r="Q122" s="23">
        <v>2</v>
      </c>
      <c r="R122" s="23">
        <v>2</v>
      </c>
      <c r="S122" s="23">
        <v>2</v>
      </c>
      <c r="T122" s="23">
        <v>2</v>
      </c>
      <c r="U122" s="23">
        <v>2</v>
      </c>
      <c r="V122" s="23">
        <v>2</v>
      </c>
      <c r="W122" s="23">
        <v>2</v>
      </c>
      <c r="X122" s="118" t="s">
        <v>190</v>
      </c>
      <c r="Y122" s="28">
        <v>7.7609720046640199E-2</v>
      </c>
      <c r="Z122" s="42">
        <v>0</v>
      </c>
      <c r="AA122" s="22">
        <v>0</v>
      </c>
      <c r="AB122" s="22">
        <v>1</v>
      </c>
      <c r="AC122" s="23">
        <v>13</v>
      </c>
      <c r="AD122" s="23">
        <v>13</v>
      </c>
      <c r="AE122" s="23"/>
      <c r="AF122" s="24"/>
      <c r="AG122" s="24">
        <v>1</v>
      </c>
      <c r="AH122" s="57">
        <v>0.99880000000000002</v>
      </c>
      <c r="AI122" s="57">
        <v>0.61699999999999999</v>
      </c>
      <c r="AJ122" s="106">
        <v>0.77333770000000002</v>
      </c>
      <c r="AK122" s="96"/>
      <c r="AL122" s="1"/>
      <c r="AM122" s="2"/>
      <c r="AN122" s="21"/>
      <c r="AO122" s="21"/>
      <c r="AP122" s="21"/>
      <c r="AQ122" s="21"/>
    </row>
    <row r="123" spans="1:43" ht="15.75" customHeight="1">
      <c r="A123" s="14"/>
      <c r="B123" s="15" t="s">
        <v>100</v>
      </c>
      <c r="C123" s="16">
        <v>10</v>
      </c>
      <c r="D123" s="26">
        <v>2019</v>
      </c>
      <c r="E123" s="26"/>
      <c r="F123" s="25">
        <v>3.0999999999999999E-3</v>
      </c>
      <c r="G123" s="32">
        <v>1.5699999999999999E-2</v>
      </c>
      <c r="H123" s="25">
        <v>0.80120000000000002</v>
      </c>
      <c r="I123" s="25">
        <v>0.96799999999999997</v>
      </c>
      <c r="J123" s="32">
        <v>5.7200000000000001E-2</v>
      </c>
      <c r="K123" s="25">
        <v>0.25259999999999999</v>
      </c>
      <c r="L123" s="25">
        <v>3.3799999999999997E-2</v>
      </c>
      <c r="M123" s="23">
        <v>3</v>
      </c>
      <c r="N123" s="23">
        <v>3</v>
      </c>
      <c r="O123" s="23">
        <v>3</v>
      </c>
      <c r="P123" s="23">
        <v>3</v>
      </c>
      <c r="Q123" s="23">
        <v>3</v>
      </c>
      <c r="R123" s="23">
        <v>3</v>
      </c>
      <c r="S123" s="23">
        <v>3</v>
      </c>
      <c r="T123" s="23">
        <v>3</v>
      </c>
      <c r="U123" s="23">
        <v>3</v>
      </c>
      <c r="V123" s="23">
        <v>3</v>
      </c>
      <c r="W123" s="23">
        <v>3</v>
      </c>
      <c r="X123" s="118" t="s">
        <v>193</v>
      </c>
      <c r="Y123" s="28">
        <v>7.0536567966284672E-2</v>
      </c>
      <c r="Z123" s="42">
        <v>0</v>
      </c>
      <c r="AA123" s="22">
        <v>0</v>
      </c>
      <c r="AB123" s="22">
        <v>1</v>
      </c>
      <c r="AC123" s="23">
        <v>14</v>
      </c>
      <c r="AD123" s="23">
        <v>14</v>
      </c>
      <c r="AE123" s="23"/>
      <c r="AF123" s="24"/>
      <c r="AG123" s="24">
        <v>1</v>
      </c>
      <c r="AH123" s="57">
        <v>0.99829999999999997</v>
      </c>
      <c r="AI123" s="57">
        <v>0.63600000000000001</v>
      </c>
      <c r="AJ123" s="104" t="s">
        <v>168</v>
      </c>
      <c r="AK123" s="96"/>
      <c r="AL123" s="1"/>
      <c r="AM123" s="2"/>
      <c r="AN123" s="21"/>
      <c r="AO123" s="21"/>
      <c r="AP123" s="21"/>
      <c r="AQ123" s="21"/>
    </row>
    <row r="124" spans="1:43" ht="15.75" hidden="1" customHeight="1">
      <c r="A124" s="14"/>
      <c r="B124" s="15" t="s">
        <v>100</v>
      </c>
      <c r="C124" s="16">
        <v>10</v>
      </c>
      <c r="D124" s="26">
        <v>2020</v>
      </c>
      <c r="E124" s="26"/>
      <c r="F124" s="25">
        <v>4.0000000000000002E-4</v>
      </c>
      <c r="G124" s="18"/>
      <c r="H124" s="18">
        <v>1.9673</v>
      </c>
      <c r="I124" s="25">
        <v>0.97729999999999995</v>
      </c>
      <c r="J124" s="25"/>
      <c r="K124" s="25">
        <v>0.22220000000000001</v>
      </c>
      <c r="L124" s="25">
        <v>4.9500000000000002E-2</v>
      </c>
      <c r="M124" s="24">
        <v>3</v>
      </c>
      <c r="N124" s="20"/>
      <c r="O124" s="20"/>
      <c r="P124" s="20"/>
      <c r="Q124" s="20"/>
      <c r="R124" s="20"/>
      <c r="S124" s="20"/>
      <c r="T124" s="20"/>
      <c r="U124" s="20"/>
      <c r="V124" s="20"/>
      <c r="W124" s="20"/>
      <c r="X124" s="27">
        <v>0.83673469387755106</v>
      </c>
      <c r="Y124" s="28">
        <v>6.8959212465794367E-2</v>
      </c>
      <c r="Z124" s="42"/>
      <c r="AA124" s="34"/>
      <c r="AB124" s="34"/>
      <c r="AC124" s="24"/>
      <c r="AD124" s="24"/>
      <c r="AE124" s="24"/>
      <c r="AF124" s="24"/>
      <c r="AG124" s="24"/>
      <c r="AH124" s="59"/>
      <c r="AI124" s="59"/>
      <c r="AJ124" s="104" t="e">
        <f>#REF!</f>
        <v>#REF!</v>
      </c>
      <c r="AK124" s="96"/>
      <c r="AL124" s="1"/>
      <c r="AM124" s="2"/>
      <c r="AN124" s="21"/>
      <c r="AO124" s="21"/>
      <c r="AP124" s="21"/>
      <c r="AQ124" s="21"/>
    </row>
    <row r="125" spans="1:43" ht="15.75" customHeight="1">
      <c r="A125" s="14">
        <v>11</v>
      </c>
      <c r="B125" s="15" t="s">
        <v>101</v>
      </c>
      <c r="C125" s="16">
        <v>11</v>
      </c>
      <c r="D125" s="26">
        <v>2009</v>
      </c>
      <c r="E125" s="75">
        <v>39753</v>
      </c>
      <c r="F125" s="25">
        <f>16215848965/3178385797243</f>
        <v>5.1019133608846273E-3</v>
      </c>
      <c r="G125" s="18">
        <v>3.3500000000000002E-2</v>
      </c>
      <c r="H125" s="18">
        <v>1.2098</v>
      </c>
      <c r="I125" s="18">
        <v>0.97499999999999998</v>
      </c>
      <c r="J125" s="18">
        <v>7.8E-2</v>
      </c>
      <c r="K125" s="18">
        <v>0.1704</v>
      </c>
      <c r="L125" s="18">
        <v>1.0699999999999999E-2</v>
      </c>
      <c r="M125" s="90">
        <v>2</v>
      </c>
      <c r="N125" s="91">
        <v>2</v>
      </c>
      <c r="O125" s="91">
        <v>2</v>
      </c>
      <c r="P125" s="91">
        <v>2</v>
      </c>
      <c r="Q125" s="91">
        <v>2</v>
      </c>
      <c r="R125" s="91">
        <v>2</v>
      </c>
      <c r="S125" s="91">
        <v>2</v>
      </c>
      <c r="T125" s="91">
        <v>3</v>
      </c>
      <c r="U125" s="91">
        <v>2</v>
      </c>
      <c r="V125" s="91">
        <v>3</v>
      </c>
      <c r="W125" s="91">
        <v>2</v>
      </c>
      <c r="X125" s="70">
        <v>0.124</v>
      </c>
      <c r="Y125" s="28"/>
      <c r="Z125" s="67">
        <v>278427453</v>
      </c>
      <c r="AA125" s="34">
        <v>1</v>
      </c>
      <c r="AB125" s="34">
        <v>1</v>
      </c>
      <c r="AC125" s="76"/>
      <c r="AD125" s="76"/>
      <c r="AE125" s="24"/>
      <c r="AF125" s="24"/>
      <c r="AG125" s="24"/>
      <c r="AH125" s="58">
        <v>0.95609999999999995</v>
      </c>
      <c r="AI125" s="58">
        <v>0.29010000000000002</v>
      </c>
      <c r="AJ125" s="104" t="s">
        <v>169</v>
      </c>
      <c r="AK125" s="96"/>
      <c r="AL125" s="1"/>
      <c r="AM125" s="2"/>
      <c r="AN125" s="21"/>
      <c r="AO125" s="21"/>
      <c r="AP125" s="21"/>
      <c r="AQ125" s="21"/>
    </row>
    <row r="126" spans="1:43" ht="15.75" customHeight="1">
      <c r="A126" s="14"/>
      <c r="B126" s="15" t="s">
        <v>101</v>
      </c>
      <c r="C126" s="16">
        <v>11</v>
      </c>
      <c r="D126" s="26">
        <v>2010</v>
      </c>
      <c r="E126" s="26"/>
      <c r="F126" s="25">
        <f>10954/6856386</f>
        <v>1.597634672260284E-3</v>
      </c>
      <c r="G126" s="18">
        <v>1.2800000000000001E-2</v>
      </c>
      <c r="H126" s="18">
        <v>0.95820000000000005</v>
      </c>
      <c r="I126" s="18">
        <v>0.98770000000000002</v>
      </c>
      <c r="J126" s="18">
        <v>7.4999999999999997E-2</v>
      </c>
      <c r="K126" s="18">
        <v>0.20619999999999999</v>
      </c>
      <c r="L126" s="18">
        <v>2.1399999999999999E-2</v>
      </c>
      <c r="M126" s="24">
        <v>1</v>
      </c>
      <c r="N126" s="24">
        <v>1</v>
      </c>
      <c r="O126" s="24">
        <v>2</v>
      </c>
      <c r="P126" s="24">
        <v>2</v>
      </c>
      <c r="Q126" s="24">
        <v>2</v>
      </c>
      <c r="R126" s="24">
        <v>2</v>
      </c>
      <c r="S126" s="24">
        <v>2</v>
      </c>
      <c r="T126" s="24">
        <v>2</v>
      </c>
      <c r="U126" s="24">
        <v>1</v>
      </c>
      <c r="V126" s="24">
        <v>1</v>
      </c>
      <c r="W126" s="24">
        <v>2</v>
      </c>
      <c r="X126" s="70">
        <v>0.19009999999999999</v>
      </c>
      <c r="Y126" s="28"/>
      <c r="Z126" s="67">
        <v>470000000</v>
      </c>
      <c r="AA126" s="34">
        <v>1</v>
      </c>
      <c r="AB126" s="34">
        <v>1</v>
      </c>
      <c r="AC126" s="23">
        <v>10</v>
      </c>
      <c r="AD126" s="23">
        <v>1</v>
      </c>
      <c r="AE126" s="23">
        <v>18</v>
      </c>
      <c r="AF126" s="23"/>
      <c r="AG126" s="23">
        <v>1</v>
      </c>
      <c r="AH126" s="58">
        <v>0.95920000000000005</v>
      </c>
      <c r="AI126" s="58">
        <v>0.24030000000000001</v>
      </c>
      <c r="AJ126" s="104" t="s">
        <v>170</v>
      </c>
      <c r="AK126" s="96"/>
      <c r="AL126" s="1"/>
      <c r="AM126" s="2"/>
      <c r="AN126" s="21"/>
      <c r="AO126" s="21"/>
      <c r="AP126" s="21"/>
      <c r="AQ126" s="21"/>
    </row>
    <row r="127" spans="1:43" ht="15.75" customHeight="1">
      <c r="A127" s="14"/>
      <c r="B127" s="15" t="s">
        <v>101</v>
      </c>
      <c r="C127" s="16">
        <v>11</v>
      </c>
      <c r="D127" s="26">
        <v>2011</v>
      </c>
      <c r="E127" s="26"/>
      <c r="F127" s="25">
        <f>11654/11200823</f>
        <v>1.0404592591097992E-3</v>
      </c>
      <c r="G127" s="18">
        <v>1.1900000000000001E-2</v>
      </c>
      <c r="H127" s="18">
        <v>0.90549999999999997</v>
      </c>
      <c r="I127" s="18">
        <v>0.99250000000000005</v>
      </c>
      <c r="J127" s="18">
        <v>6.9900000000000004E-2</v>
      </c>
      <c r="K127" s="18">
        <v>0.1474</v>
      </c>
      <c r="L127" s="18">
        <v>2.12E-2</v>
      </c>
      <c r="M127" s="24">
        <v>1</v>
      </c>
      <c r="N127" s="24">
        <v>1</v>
      </c>
      <c r="O127" s="24">
        <v>2</v>
      </c>
      <c r="P127" s="24">
        <v>2</v>
      </c>
      <c r="Q127" s="24">
        <v>2</v>
      </c>
      <c r="R127" s="24">
        <v>1</v>
      </c>
      <c r="S127" s="24">
        <v>2</v>
      </c>
      <c r="T127" s="24">
        <v>2</v>
      </c>
      <c r="U127" s="24">
        <v>1</v>
      </c>
      <c r="V127" s="24">
        <v>2</v>
      </c>
      <c r="W127" s="24">
        <v>2</v>
      </c>
      <c r="X127" s="70">
        <v>0.1983</v>
      </c>
      <c r="Y127" s="28"/>
      <c r="Z127" s="67">
        <v>1982000000</v>
      </c>
      <c r="AA127" s="34">
        <v>0</v>
      </c>
      <c r="AB127" s="34">
        <v>1</v>
      </c>
      <c r="AC127" s="23">
        <v>18</v>
      </c>
      <c r="AD127" s="23">
        <v>19</v>
      </c>
      <c r="AE127" s="23"/>
      <c r="AF127" s="23"/>
      <c r="AG127" s="23">
        <v>1</v>
      </c>
      <c r="AH127" s="58">
        <v>0.9667</v>
      </c>
      <c r="AI127" s="58">
        <v>0.19189999999999999</v>
      </c>
      <c r="AJ127" s="104" t="s">
        <v>171</v>
      </c>
      <c r="AK127" s="96"/>
      <c r="AL127" s="1"/>
      <c r="AM127" s="2"/>
      <c r="AN127" s="21"/>
      <c r="AO127" s="21"/>
      <c r="AP127" s="21"/>
      <c r="AQ127" s="21"/>
    </row>
    <row r="128" spans="1:43" ht="15.75" customHeight="1">
      <c r="A128" s="14"/>
      <c r="B128" s="15" t="s">
        <v>101</v>
      </c>
      <c r="C128" s="16">
        <v>11</v>
      </c>
      <c r="D128" s="26">
        <v>2012</v>
      </c>
      <c r="E128" s="26"/>
      <c r="F128" s="25">
        <f>101888/14088914</f>
        <v>7.2317852177960626E-3</v>
      </c>
      <c r="G128" s="18">
        <v>0.1041</v>
      </c>
      <c r="H128" s="18">
        <v>1.0096000000000001</v>
      </c>
      <c r="I128" s="18">
        <v>0.86629999999999996</v>
      </c>
      <c r="J128" s="18">
        <v>7.1499999999999994E-2</v>
      </c>
      <c r="K128" s="18">
        <v>0.1135</v>
      </c>
      <c r="L128" s="18">
        <v>1.84E-2</v>
      </c>
      <c r="M128" s="24">
        <v>1</v>
      </c>
      <c r="N128" s="24">
        <v>1</v>
      </c>
      <c r="O128" s="24">
        <v>2</v>
      </c>
      <c r="P128" s="24">
        <v>1</v>
      </c>
      <c r="Q128" s="24">
        <v>2</v>
      </c>
      <c r="R128" s="24">
        <v>1</v>
      </c>
      <c r="S128" s="24">
        <v>1</v>
      </c>
      <c r="T128" s="24">
        <v>2</v>
      </c>
      <c r="U128" s="24">
        <v>1</v>
      </c>
      <c r="V128" s="24">
        <v>2</v>
      </c>
      <c r="W128" s="24">
        <v>2</v>
      </c>
      <c r="X128" s="36">
        <v>0.66400000000000003</v>
      </c>
      <c r="Y128" s="28"/>
      <c r="Z128" s="43">
        <v>3363000000</v>
      </c>
      <c r="AA128" s="34">
        <v>0</v>
      </c>
      <c r="AB128" s="34">
        <v>1</v>
      </c>
      <c r="AC128" s="23">
        <v>17</v>
      </c>
      <c r="AD128" s="23">
        <v>18</v>
      </c>
      <c r="AE128" s="23"/>
      <c r="AF128" s="23"/>
      <c r="AG128" s="23">
        <v>1</v>
      </c>
      <c r="AH128" s="58">
        <v>0.97199999999999998</v>
      </c>
      <c r="AI128" s="59">
        <v>0.23260198000000001</v>
      </c>
      <c r="AJ128" s="104">
        <v>0.28000000000000003</v>
      </c>
      <c r="AK128" s="96"/>
      <c r="AL128" s="1"/>
      <c r="AM128" s="2"/>
      <c r="AN128" s="21"/>
      <c r="AO128" s="21"/>
      <c r="AP128" s="21"/>
      <c r="AQ128" s="21"/>
    </row>
    <row r="129" spans="1:43" ht="15.75" customHeight="1">
      <c r="A129" s="14"/>
      <c r="B129" s="15" t="s">
        <v>101</v>
      </c>
      <c r="C129" s="16">
        <v>11</v>
      </c>
      <c r="D129" s="26">
        <v>2013</v>
      </c>
      <c r="E129" s="26"/>
      <c r="F129" s="25">
        <v>1.15E-2</v>
      </c>
      <c r="G129" s="25">
        <v>0.10199999999999999</v>
      </c>
      <c r="H129" s="25">
        <v>1.0269999999999999</v>
      </c>
      <c r="I129" s="25">
        <v>0.83230000000000004</v>
      </c>
      <c r="J129" s="25">
        <v>6.2700000000000006E-2</v>
      </c>
      <c r="K129" s="25">
        <v>0.1449</v>
      </c>
      <c r="L129" s="25">
        <v>4.0599999999999997E-2</v>
      </c>
      <c r="M129" s="24">
        <v>1</v>
      </c>
      <c r="N129" s="24">
        <v>1</v>
      </c>
      <c r="O129" s="24">
        <v>2</v>
      </c>
      <c r="P129" s="24">
        <v>1</v>
      </c>
      <c r="Q129" s="24">
        <v>2</v>
      </c>
      <c r="R129" s="24">
        <v>1</v>
      </c>
      <c r="S129" s="24">
        <v>1</v>
      </c>
      <c r="T129" s="24">
        <v>2</v>
      </c>
      <c r="U129" s="24">
        <v>1</v>
      </c>
      <c r="V129" s="24">
        <v>1</v>
      </c>
      <c r="W129" s="24">
        <v>2</v>
      </c>
      <c r="X129" s="36">
        <v>0.66700000000000004</v>
      </c>
      <c r="Y129" s="28">
        <v>8.3853836865402542E-2</v>
      </c>
      <c r="Z129" s="43">
        <v>5615000000</v>
      </c>
      <c r="AA129" s="34">
        <v>0</v>
      </c>
      <c r="AB129" s="34">
        <v>1</v>
      </c>
      <c r="AC129" s="23">
        <v>12</v>
      </c>
      <c r="AD129" s="23">
        <v>13</v>
      </c>
      <c r="AE129" s="23"/>
      <c r="AF129" s="23"/>
      <c r="AG129" s="23">
        <v>1</v>
      </c>
      <c r="AH129" s="58">
        <v>0.9718</v>
      </c>
      <c r="AI129" s="59">
        <v>0.28526518000000001</v>
      </c>
      <c r="AJ129" s="104">
        <v>0.28999999999999998</v>
      </c>
      <c r="AK129" s="96"/>
      <c r="AL129" s="1"/>
      <c r="AM129" s="2"/>
      <c r="AN129" s="21"/>
      <c r="AO129" s="21"/>
      <c r="AP129" s="21"/>
      <c r="AQ129" s="21"/>
    </row>
    <row r="130" spans="1:43" ht="15.75" customHeight="1">
      <c r="A130" s="14"/>
      <c r="B130" s="15" t="s">
        <v>101</v>
      </c>
      <c r="C130" s="16">
        <v>11</v>
      </c>
      <c r="D130" s="26">
        <v>2014</v>
      </c>
      <c r="E130" s="26"/>
      <c r="F130" s="25">
        <v>8.0000000000000004E-4</v>
      </c>
      <c r="G130" s="32">
        <v>4.3999999999999997E-2</v>
      </c>
      <c r="H130" s="25">
        <v>0.93899999999999995</v>
      </c>
      <c r="I130" s="25">
        <v>0.99139999999999995</v>
      </c>
      <c r="J130" s="32">
        <v>6.0400000000000002E-2</v>
      </c>
      <c r="K130" s="25">
        <v>0.12889999999999999</v>
      </c>
      <c r="L130" s="25">
        <v>4.5999999999999999E-2</v>
      </c>
      <c r="M130" s="23">
        <v>2</v>
      </c>
      <c r="N130" s="23">
        <v>2</v>
      </c>
      <c r="O130" s="23">
        <v>2</v>
      </c>
      <c r="P130" s="23">
        <v>2</v>
      </c>
      <c r="Q130" s="23">
        <v>2</v>
      </c>
      <c r="R130" s="23">
        <v>2</v>
      </c>
      <c r="S130" s="23">
        <v>2</v>
      </c>
      <c r="T130" s="23">
        <v>2</v>
      </c>
      <c r="U130" s="23">
        <v>2</v>
      </c>
      <c r="V130" s="23">
        <v>2</v>
      </c>
      <c r="W130" s="23">
        <v>2</v>
      </c>
      <c r="X130" s="36">
        <v>0.68799999999999994</v>
      </c>
      <c r="Y130" s="28">
        <v>0.10076950220611934</v>
      </c>
      <c r="Z130" s="43">
        <v>7080000000</v>
      </c>
      <c r="AA130" s="81">
        <v>0</v>
      </c>
      <c r="AB130" s="81">
        <v>1</v>
      </c>
      <c r="AC130" s="23">
        <v>11</v>
      </c>
      <c r="AD130" s="23">
        <v>12</v>
      </c>
      <c r="AE130" s="23"/>
      <c r="AF130" s="23"/>
      <c r="AG130" s="23">
        <v>1</v>
      </c>
      <c r="AH130" s="57">
        <v>0.99939999999999996</v>
      </c>
      <c r="AI130" s="57">
        <v>0.31668428999999998</v>
      </c>
      <c r="AJ130" s="104">
        <v>0.22</v>
      </c>
      <c r="AK130" s="96"/>
      <c r="AL130" s="1"/>
      <c r="AM130" s="2"/>
      <c r="AN130" s="21"/>
      <c r="AO130" s="21"/>
      <c r="AP130" s="21"/>
      <c r="AQ130" s="21"/>
    </row>
    <row r="131" spans="1:43" ht="15.75" customHeight="1">
      <c r="A131" s="14"/>
      <c r="B131" s="15" t="s">
        <v>101</v>
      </c>
      <c r="C131" s="16">
        <v>11</v>
      </c>
      <c r="D131" s="26">
        <v>2015</v>
      </c>
      <c r="E131" s="26"/>
      <c r="F131" s="25">
        <v>7.7000000000000002E-3</v>
      </c>
      <c r="G131" s="32">
        <v>6.2E-2</v>
      </c>
      <c r="H131" s="25">
        <v>0.84160000000000001</v>
      </c>
      <c r="I131" s="25">
        <v>0.93789999999999996</v>
      </c>
      <c r="J131" s="32">
        <v>6.6600000000000006E-2</v>
      </c>
      <c r="K131" s="25">
        <v>0.1394</v>
      </c>
      <c r="L131" s="25">
        <v>4.8599999999999997E-2</v>
      </c>
      <c r="M131" s="23">
        <v>2</v>
      </c>
      <c r="N131" s="23">
        <v>2</v>
      </c>
      <c r="O131" s="23">
        <v>2</v>
      </c>
      <c r="P131" s="23">
        <v>2</v>
      </c>
      <c r="Q131" s="23">
        <v>2</v>
      </c>
      <c r="R131" s="23">
        <v>2</v>
      </c>
      <c r="S131" s="23">
        <v>2</v>
      </c>
      <c r="T131" s="23">
        <v>2</v>
      </c>
      <c r="U131" s="23">
        <v>2</v>
      </c>
      <c r="V131" s="23">
        <v>2</v>
      </c>
      <c r="W131" s="23">
        <v>2</v>
      </c>
      <c r="X131" s="36">
        <v>0.77</v>
      </c>
      <c r="Y131" s="28">
        <v>0.10466871509919044</v>
      </c>
      <c r="Z131" s="43">
        <v>4242000000</v>
      </c>
      <c r="AA131" s="77">
        <v>0</v>
      </c>
      <c r="AB131" s="82">
        <v>1</v>
      </c>
      <c r="AC131" s="23">
        <v>14</v>
      </c>
      <c r="AD131" s="23">
        <v>14</v>
      </c>
      <c r="AE131" s="23"/>
      <c r="AF131" s="23"/>
      <c r="AG131" s="23">
        <v>1</v>
      </c>
      <c r="AH131" s="57">
        <v>0.99939999999999996</v>
      </c>
      <c r="AI131" s="57">
        <v>0.37254766</v>
      </c>
      <c r="AJ131" s="104">
        <v>0.25</v>
      </c>
      <c r="AK131" s="96"/>
      <c r="AL131" s="1"/>
      <c r="AM131" s="2"/>
      <c r="AN131" s="21"/>
      <c r="AO131" s="21"/>
      <c r="AP131" s="21"/>
      <c r="AQ131" s="21"/>
    </row>
    <row r="132" spans="1:43" ht="15.75" customHeight="1">
      <c r="A132" s="14"/>
      <c r="B132" s="15" t="s">
        <v>101</v>
      </c>
      <c r="C132" s="16">
        <v>11</v>
      </c>
      <c r="D132" s="26">
        <v>2016</v>
      </c>
      <c r="E132" s="26"/>
      <c r="F132" s="25">
        <v>9.4999999999999998E-3</v>
      </c>
      <c r="G132" s="32">
        <v>7.3999999999999996E-2</v>
      </c>
      <c r="H132" s="25">
        <v>0.81420000000000003</v>
      </c>
      <c r="I132" s="25">
        <v>0.9133</v>
      </c>
      <c r="J132" s="32">
        <v>6.3700000000000007E-2</v>
      </c>
      <c r="K132" s="25">
        <v>0.20630000000000001</v>
      </c>
      <c r="L132" s="25">
        <v>4.5699999999999998E-2</v>
      </c>
      <c r="M132" s="23">
        <v>2</v>
      </c>
      <c r="N132" s="23">
        <v>2</v>
      </c>
      <c r="O132" s="23">
        <v>2</v>
      </c>
      <c r="P132" s="23">
        <v>2</v>
      </c>
      <c r="Q132" s="23">
        <v>2</v>
      </c>
      <c r="R132" s="23">
        <v>2</v>
      </c>
      <c r="S132" s="23">
        <v>2</v>
      </c>
      <c r="T132" s="23">
        <v>2</v>
      </c>
      <c r="U132" s="23">
        <v>2</v>
      </c>
      <c r="V132" s="23">
        <v>2</v>
      </c>
      <c r="W132" s="23">
        <v>2</v>
      </c>
      <c r="X132" s="116" t="s">
        <v>181</v>
      </c>
      <c r="Y132" s="28">
        <v>9.5141514551784739E-2</v>
      </c>
      <c r="Z132" s="43">
        <v>6998000000</v>
      </c>
      <c r="AA132" s="81">
        <v>0</v>
      </c>
      <c r="AB132" s="81">
        <v>1</v>
      </c>
      <c r="AC132" s="23">
        <v>12</v>
      </c>
      <c r="AD132" s="23">
        <v>12</v>
      </c>
      <c r="AE132" s="23"/>
      <c r="AF132" s="23"/>
      <c r="AG132" s="23">
        <v>1</v>
      </c>
      <c r="AH132" s="57">
        <v>0.99990000000000001</v>
      </c>
      <c r="AI132" s="57">
        <v>0.35699999999999998</v>
      </c>
      <c r="AJ132" s="104">
        <v>0.26</v>
      </c>
      <c r="AK132" s="96"/>
      <c r="AL132" s="1"/>
      <c r="AM132" s="2"/>
      <c r="AN132" s="21"/>
      <c r="AO132" s="21"/>
      <c r="AP132" s="21"/>
      <c r="AQ132" s="21"/>
    </row>
    <row r="133" spans="1:43" ht="15.75" customHeight="1">
      <c r="A133" s="14"/>
      <c r="B133" s="15" t="s">
        <v>101</v>
      </c>
      <c r="C133" s="16">
        <v>11</v>
      </c>
      <c r="D133" s="26">
        <v>2017</v>
      </c>
      <c r="E133" s="26"/>
      <c r="F133" s="25">
        <v>5.1000000000000004E-3</v>
      </c>
      <c r="G133" s="32">
        <v>4.1000000000000002E-2</v>
      </c>
      <c r="H133" s="25">
        <v>0.71870000000000001</v>
      </c>
      <c r="I133" s="25">
        <v>0.95240000000000002</v>
      </c>
      <c r="J133" s="32">
        <v>5.8400000000000001E-2</v>
      </c>
      <c r="K133" s="25">
        <v>0.2029</v>
      </c>
      <c r="L133" s="25">
        <v>4.7199999999999999E-2</v>
      </c>
      <c r="M133" s="23">
        <v>2</v>
      </c>
      <c r="N133" s="23">
        <v>2</v>
      </c>
      <c r="O133" s="23">
        <v>2</v>
      </c>
      <c r="P133" s="23">
        <v>2</v>
      </c>
      <c r="Q133" s="23">
        <v>2</v>
      </c>
      <c r="R133" s="23">
        <v>2</v>
      </c>
      <c r="S133" s="23">
        <v>2</v>
      </c>
      <c r="T133" s="23">
        <v>2</v>
      </c>
      <c r="U133" s="23">
        <v>2</v>
      </c>
      <c r="V133" s="23">
        <v>2</v>
      </c>
      <c r="W133" s="23">
        <v>2</v>
      </c>
      <c r="X133" s="116" t="s">
        <v>180</v>
      </c>
      <c r="Y133" s="28">
        <v>8.9290483227798256E-2</v>
      </c>
      <c r="Z133" s="43">
        <v>8933000000</v>
      </c>
      <c r="AA133" s="81">
        <v>0</v>
      </c>
      <c r="AB133" s="81">
        <v>1</v>
      </c>
      <c r="AC133" s="23">
        <v>12</v>
      </c>
      <c r="AD133" s="23">
        <v>12</v>
      </c>
      <c r="AE133" s="23"/>
      <c r="AF133" s="23"/>
      <c r="AG133" s="23">
        <v>1</v>
      </c>
      <c r="AH133" s="57">
        <v>0.99980000000000002</v>
      </c>
      <c r="AI133" s="57">
        <v>0.33800000000000002</v>
      </c>
      <c r="AJ133" s="104">
        <v>0.24</v>
      </c>
      <c r="AK133" s="96"/>
      <c r="AL133" s="1"/>
      <c r="AM133" s="2"/>
      <c r="AN133" s="21"/>
      <c r="AO133" s="21"/>
      <c r="AP133" s="21"/>
      <c r="AQ133" s="21"/>
    </row>
    <row r="134" spans="1:43" ht="15.75" customHeight="1">
      <c r="A134" s="14"/>
      <c r="B134" s="15" t="s">
        <v>101</v>
      </c>
      <c r="C134" s="16">
        <v>11</v>
      </c>
      <c r="D134" s="26">
        <v>2018</v>
      </c>
      <c r="E134" s="26"/>
      <c r="F134" s="25">
        <v>4.3E-3</v>
      </c>
      <c r="G134" s="32">
        <v>2.4899999999999999E-2</v>
      </c>
      <c r="H134" s="25">
        <v>0.74490000000000001</v>
      </c>
      <c r="I134" s="25">
        <v>0.95320000000000005</v>
      </c>
      <c r="J134" s="32">
        <v>5.3600000000000002E-2</v>
      </c>
      <c r="K134" s="25">
        <v>0.29720000000000002</v>
      </c>
      <c r="L134" s="25">
        <v>4.9700000000000001E-2</v>
      </c>
      <c r="M134" s="23">
        <v>2</v>
      </c>
      <c r="N134" s="23">
        <v>2</v>
      </c>
      <c r="O134" s="23">
        <v>2</v>
      </c>
      <c r="P134" s="23">
        <v>2</v>
      </c>
      <c r="Q134" s="23">
        <v>2</v>
      </c>
      <c r="R134" s="23">
        <v>2</v>
      </c>
      <c r="S134" s="23">
        <v>2</v>
      </c>
      <c r="T134" s="23">
        <v>2</v>
      </c>
      <c r="U134" s="23">
        <v>2</v>
      </c>
      <c r="V134" s="23">
        <v>2</v>
      </c>
      <c r="W134" s="23">
        <v>2</v>
      </c>
      <c r="X134" s="116" t="s">
        <v>183</v>
      </c>
      <c r="Y134" s="28">
        <v>8.2297246130326393E-2</v>
      </c>
      <c r="Z134" s="43">
        <v>7051000000</v>
      </c>
      <c r="AA134" s="81">
        <v>0</v>
      </c>
      <c r="AB134" s="81">
        <v>1</v>
      </c>
      <c r="AC134" s="23">
        <v>12</v>
      </c>
      <c r="AD134" s="23">
        <v>12</v>
      </c>
      <c r="AE134" s="23"/>
      <c r="AF134" s="23"/>
      <c r="AG134" s="23">
        <v>1</v>
      </c>
      <c r="AH134" s="57">
        <v>0.99970000000000003</v>
      </c>
      <c r="AI134" s="57">
        <v>0.36</v>
      </c>
      <c r="AJ134" s="104">
        <v>0.19</v>
      </c>
      <c r="AK134" s="96"/>
      <c r="AL134" s="1"/>
      <c r="AM134" s="2"/>
      <c r="AN134" s="21"/>
      <c r="AO134" s="21"/>
      <c r="AP134" s="21"/>
      <c r="AQ134" s="21"/>
    </row>
    <row r="135" spans="1:43" ht="15.75" customHeight="1">
      <c r="A135" s="14"/>
      <c r="B135" s="15" t="s">
        <v>101</v>
      </c>
      <c r="C135" s="16">
        <v>11</v>
      </c>
      <c r="D135" s="26">
        <v>2019</v>
      </c>
      <c r="E135" s="26"/>
      <c r="F135" s="25">
        <v>3.0999999999999999E-3</v>
      </c>
      <c r="G135" s="32">
        <v>1.5699999999999999E-2</v>
      </c>
      <c r="H135" s="25">
        <v>0.80120000000000002</v>
      </c>
      <c r="I135" s="25">
        <v>0.96799999999999997</v>
      </c>
      <c r="J135" s="32">
        <v>5.7200000000000001E-2</v>
      </c>
      <c r="K135" s="25">
        <v>0.25259999999999999</v>
      </c>
      <c r="L135" s="25">
        <v>3.3799999999999997E-2</v>
      </c>
      <c r="M135" s="23">
        <v>2</v>
      </c>
      <c r="N135" s="23">
        <v>2</v>
      </c>
      <c r="O135" s="23">
        <v>2</v>
      </c>
      <c r="P135" s="23">
        <v>2</v>
      </c>
      <c r="Q135" s="23">
        <v>2</v>
      </c>
      <c r="R135" s="23">
        <v>2</v>
      </c>
      <c r="S135" s="23">
        <v>2</v>
      </c>
      <c r="T135" s="23">
        <v>2</v>
      </c>
      <c r="U135" s="23">
        <v>2</v>
      </c>
      <c r="V135" s="23">
        <v>2</v>
      </c>
      <c r="W135" s="23">
        <v>2</v>
      </c>
      <c r="X135" s="116" t="s">
        <v>181</v>
      </c>
      <c r="Y135" s="28">
        <v>7.8260436632584085E-2</v>
      </c>
      <c r="Z135" s="43">
        <v>6674000000</v>
      </c>
      <c r="AA135" s="81">
        <v>0</v>
      </c>
      <c r="AB135" s="81">
        <v>1</v>
      </c>
      <c r="AC135" s="23">
        <v>16</v>
      </c>
      <c r="AD135" s="23">
        <v>16</v>
      </c>
      <c r="AE135" s="23"/>
      <c r="AF135" s="23"/>
      <c r="AG135" s="23">
        <v>1</v>
      </c>
      <c r="AH135" s="57">
        <v>0.99950000000000006</v>
      </c>
      <c r="AI135" s="57">
        <v>0.41699999999999998</v>
      </c>
      <c r="AJ135" s="104">
        <v>0.2</v>
      </c>
      <c r="AK135" s="30"/>
      <c r="AL135" s="1"/>
      <c r="AM135" s="2"/>
      <c r="AN135" s="21"/>
      <c r="AO135" s="21"/>
      <c r="AP135" s="21"/>
      <c r="AQ135" s="21"/>
    </row>
    <row r="136" spans="1:43" ht="15.75" hidden="1" customHeight="1">
      <c r="A136" s="14"/>
      <c r="B136" s="15" t="s">
        <v>101</v>
      </c>
      <c r="C136" s="16">
        <v>11</v>
      </c>
      <c r="D136" s="26">
        <v>2020</v>
      </c>
      <c r="E136" s="26"/>
      <c r="F136" s="25">
        <v>8.0999999999999996E-3</v>
      </c>
      <c r="G136" s="25"/>
      <c r="H136" s="25">
        <v>0.80989999999999995</v>
      </c>
      <c r="I136" s="25">
        <v>0.91010000000000002</v>
      </c>
      <c r="J136" s="25"/>
      <c r="K136" s="25">
        <v>0.19040000000000001</v>
      </c>
      <c r="L136" s="25">
        <v>1.77E-2</v>
      </c>
      <c r="M136" s="24">
        <v>2</v>
      </c>
      <c r="N136" s="20"/>
      <c r="O136" s="20"/>
      <c r="P136" s="20"/>
      <c r="Q136" s="20"/>
      <c r="R136" s="20"/>
      <c r="S136" s="20"/>
      <c r="T136" s="20"/>
      <c r="U136" s="20"/>
      <c r="V136" s="20"/>
      <c r="W136" s="20"/>
      <c r="X136" s="27">
        <v>0.83673469387755106</v>
      </c>
      <c r="Y136" s="28">
        <v>7.5319706534730496E-2</v>
      </c>
      <c r="Z136" s="29"/>
      <c r="AA136" s="34"/>
      <c r="AB136" s="34"/>
      <c r="AC136" s="24"/>
      <c r="AD136" s="24"/>
      <c r="AE136" s="24"/>
      <c r="AF136" s="24"/>
      <c r="AG136" s="24"/>
      <c r="AH136" s="59"/>
      <c r="AI136" s="59"/>
      <c r="AJ136" s="108"/>
      <c r="AK136" s="30"/>
      <c r="AL136" s="1"/>
      <c r="AM136" s="2"/>
      <c r="AN136" s="21"/>
      <c r="AO136" s="21"/>
      <c r="AP136" s="21"/>
      <c r="AQ136" s="21"/>
    </row>
    <row r="137" spans="1:43" ht="15.75" customHeight="1">
      <c r="A137" s="14">
        <v>12</v>
      </c>
      <c r="B137" s="15" t="s">
        <v>102</v>
      </c>
      <c r="C137" s="16">
        <v>12</v>
      </c>
      <c r="D137" s="26">
        <v>2010</v>
      </c>
      <c r="E137" s="75">
        <v>40269</v>
      </c>
      <c r="F137" s="18">
        <v>1.09E-2</v>
      </c>
      <c r="G137" s="18">
        <v>2.41E-2</v>
      </c>
      <c r="H137" s="18">
        <v>0.16930000000000001</v>
      </c>
      <c r="I137" s="25">
        <v>0.83750000000000002</v>
      </c>
      <c r="J137" s="25">
        <v>6.8199999999999997E-2</v>
      </c>
      <c r="K137" s="25">
        <v>1.9514</v>
      </c>
      <c r="L137" s="25">
        <v>0</v>
      </c>
      <c r="M137" s="24">
        <v>1.75</v>
      </c>
      <c r="N137" s="24">
        <v>1.75</v>
      </c>
      <c r="O137" s="24">
        <v>1.75</v>
      </c>
      <c r="P137" s="24">
        <v>1.75</v>
      </c>
      <c r="Q137" s="24">
        <v>1.75</v>
      </c>
      <c r="R137" s="24">
        <v>1.75</v>
      </c>
      <c r="S137" s="24">
        <v>1.75</v>
      </c>
      <c r="T137" s="24">
        <v>1.75</v>
      </c>
      <c r="U137" s="24">
        <v>1.75</v>
      </c>
      <c r="V137" s="24">
        <v>1.75</v>
      </c>
      <c r="W137" s="24">
        <v>1.75</v>
      </c>
      <c r="X137" s="70">
        <v>0.22916666699999999</v>
      </c>
      <c r="Y137" s="28"/>
      <c r="Z137" s="29">
        <v>1760267</v>
      </c>
      <c r="AA137" s="22">
        <v>0</v>
      </c>
      <c r="AB137" s="22">
        <v>1</v>
      </c>
      <c r="AC137" s="23">
        <v>9</v>
      </c>
      <c r="AD137" s="23">
        <v>9</v>
      </c>
      <c r="AE137" s="23"/>
      <c r="AF137" s="24"/>
      <c r="AG137" s="24">
        <v>1</v>
      </c>
      <c r="AH137" s="58">
        <v>0.98109999999999997</v>
      </c>
      <c r="AI137" s="59">
        <v>2.9000000000000001E-2</v>
      </c>
      <c r="AJ137" s="108">
        <v>0.32329999999999998</v>
      </c>
      <c r="AK137" s="30"/>
      <c r="AL137" s="1"/>
      <c r="AM137" s="2"/>
      <c r="AN137" s="21"/>
      <c r="AO137" s="21"/>
      <c r="AP137" s="21"/>
      <c r="AQ137" s="21"/>
    </row>
    <row r="138" spans="1:43" ht="15.75" customHeight="1">
      <c r="A138" s="14"/>
      <c r="B138" s="15" t="s">
        <v>102</v>
      </c>
      <c r="C138" s="16">
        <v>12</v>
      </c>
      <c r="D138" s="26">
        <v>2011</v>
      </c>
      <c r="E138" s="26"/>
      <c r="F138" s="18">
        <v>6.93E-2</v>
      </c>
      <c r="G138" s="18">
        <v>0.18690000000000001</v>
      </c>
      <c r="H138" s="18">
        <v>0.46079999999999999</v>
      </c>
      <c r="I138" s="25">
        <v>0.86399999999999999</v>
      </c>
      <c r="J138" s="25">
        <v>2.12E-2</v>
      </c>
      <c r="K138" s="25">
        <v>0.45200000000000001</v>
      </c>
      <c r="L138" s="25">
        <v>1.9400000000000001E-2</v>
      </c>
      <c r="M138" s="24">
        <v>1.75</v>
      </c>
      <c r="N138" s="24">
        <v>1.75</v>
      </c>
      <c r="O138" s="24">
        <v>1.75</v>
      </c>
      <c r="P138" s="24">
        <v>1.75</v>
      </c>
      <c r="Q138" s="24">
        <v>1.75</v>
      </c>
      <c r="R138" s="24">
        <v>1.75</v>
      </c>
      <c r="S138" s="24">
        <v>1.75</v>
      </c>
      <c r="T138" s="24">
        <v>1.75</v>
      </c>
      <c r="U138" s="24">
        <v>1.75</v>
      </c>
      <c r="V138" s="24">
        <v>1.75</v>
      </c>
      <c r="W138" s="24">
        <v>1.75</v>
      </c>
      <c r="X138" s="70">
        <v>0.375</v>
      </c>
      <c r="Y138" s="28"/>
      <c r="Z138" s="29">
        <v>24639229</v>
      </c>
      <c r="AA138" s="22">
        <v>1</v>
      </c>
      <c r="AB138" s="22">
        <v>1</v>
      </c>
      <c r="AC138" s="23">
        <v>12</v>
      </c>
      <c r="AD138" s="23">
        <v>10</v>
      </c>
      <c r="AE138" s="23">
        <v>1</v>
      </c>
      <c r="AF138" s="24"/>
      <c r="AG138" s="24">
        <v>1</v>
      </c>
      <c r="AH138" s="58">
        <v>0.9859</v>
      </c>
      <c r="AI138" s="59">
        <v>8.5999999999999993E-2</v>
      </c>
      <c r="AJ138" s="108">
        <v>0.44441000000000003</v>
      </c>
      <c r="AK138" s="30"/>
      <c r="AL138" s="1"/>
      <c r="AM138" s="2"/>
      <c r="AN138" s="21"/>
      <c r="AO138" s="21"/>
      <c r="AP138" s="21"/>
      <c r="AQ138" s="21"/>
    </row>
    <row r="139" spans="1:43" ht="15.75" customHeight="1">
      <c r="A139" s="14"/>
      <c r="B139" s="15" t="s">
        <v>102</v>
      </c>
      <c r="C139" s="16">
        <v>12</v>
      </c>
      <c r="D139" s="26">
        <v>2012</v>
      </c>
      <c r="E139" s="26"/>
      <c r="F139" s="18">
        <v>1.43E-2</v>
      </c>
      <c r="G139" s="18">
        <v>9.2399999999999996E-2</v>
      </c>
      <c r="H139" s="18">
        <v>0.73770000000000002</v>
      </c>
      <c r="I139" s="25">
        <v>0.879</v>
      </c>
      <c r="J139" s="25">
        <v>2.3599999999999999E-2</v>
      </c>
      <c r="K139" s="25">
        <v>0.28079999999999999</v>
      </c>
      <c r="L139" s="25">
        <v>2.41E-2</v>
      </c>
      <c r="M139" s="24">
        <v>1.75</v>
      </c>
      <c r="N139" s="24">
        <v>1.75</v>
      </c>
      <c r="O139" s="24">
        <v>1.75</v>
      </c>
      <c r="P139" s="24">
        <v>1.75</v>
      </c>
      <c r="Q139" s="24">
        <v>1.75</v>
      </c>
      <c r="R139" s="24">
        <v>1.75</v>
      </c>
      <c r="S139" s="24">
        <v>1.75</v>
      </c>
      <c r="T139" s="24">
        <v>1.75</v>
      </c>
      <c r="U139" s="24">
        <v>1.75</v>
      </c>
      <c r="V139" s="24">
        <v>1.75</v>
      </c>
      <c r="W139" s="24">
        <v>1.75</v>
      </c>
      <c r="X139" s="70">
        <v>0.45</v>
      </c>
      <c r="Y139" s="28"/>
      <c r="Z139" s="29">
        <v>36000000</v>
      </c>
      <c r="AA139" s="22">
        <v>0</v>
      </c>
      <c r="AB139" s="22">
        <v>1</v>
      </c>
      <c r="AC139" s="23">
        <v>12</v>
      </c>
      <c r="AD139" s="23">
        <v>12</v>
      </c>
      <c r="AE139" s="23"/>
      <c r="AF139" s="24"/>
      <c r="AG139" s="24">
        <v>1</v>
      </c>
      <c r="AH139" s="58">
        <v>0.99009999999999998</v>
      </c>
      <c r="AI139" s="59">
        <v>3.3399999999999999E-2</v>
      </c>
      <c r="AJ139" s="108">
        <v>0.41310400000000003</v>
      </c>
      <c r="AK139" s="30"/>
      <c r="AL139" s="1"/>
      <c r="AM139" s="2"/>
      <c r="AN139" s="21"/>
      <c r="AO139" s="21"/>
      <c r="AP139" s="21"/>
      <c r="AQ139" s="21"/>
    </row>
    <row r="140" spans="1:43" ht="15.75" customHeight="1">
      <c r="A140" s="14"/>
      <c r="B140" s="15" t="s">
        <v>102</v>
      </c>
      <c r="C140" s="16">
        <v>12</v>
      </c>
      <c r="D140" s="26">
        <v>2013</v>
      </c>
      <c r="E140" s="26"/>
      <c r="F140" s="25">
        <v>5.0000000000000001E-3</v>
      </c>
      <c r="G140" s="25">
        <v>3.6999999999999998E-2</v>
      </c>
      <c r="H140" s="25">
        <v>0.84650000000000003</v>
      </c>
      <c r="I140" s="25">
        <v>0.91949999999999998</v>
      </c>
      <c r="J140" s="25">
        <v>2.9600000000000001E-2</v>
      </c>
      <c r="K140" s="25">
        <v>0.184</v>
      </c>
      <c r="L140" s="25">
        <v>3.3099999999999997E-2</v>
      </c>
      <c r="M140" s="24">
        <v>1</v>
      </c>
      <c r="N140" s="24">
        <v>1</v>
      </c>
      <c r="O140" s="24">
        <v>1.75</v>
      </c>
      <c r="P140" s="24">
        <v>1.75</v>
      </c>
      <c r="Q140" s="24">
        <v>1.75</v>
      </c>
      <c r="R140" s="24">
        <v>1.75</v>
      </c>
      <c r="S140" s="24">
        <v>1</v>
      </c>
      <c r="T140" s="24">
        <v>1.75</v>
      </c>
      <c r="U140" s="24">
        <v>1</v>
      </c>
      <c r="V140" s="24">
        <v>1.75</v>
      </c>
      <c r="W140" s="24">
        <v>1.75</v>
      </c>
      <c r="X140" s="27">
        <v>0.51020408163265307</v>
      </c>
      <c r="Y140" s="28">
        <v>8.3853836865402542E-2</v>
      </c>
      <c r="Z140" s="29">
        <v>33488150</v>
      </c>
      <c r="AA140" s="22">
        <v>0</v>
      </c>
      <c r="AB140" s="22">
        <v>1</v>
      </c>
      <c r="AC140" s="23">
        <v>21</v>
      </c>
      <c r="AD140" s="23">
        <v>21</v>
      </c>
      <c r="AE140" s="23"/>
      <c r="AF140" s="24"/>
      <c r="AG140" s="24">
        <v>1</v>
      </c>
      <c r="AH140" s="58">
        <v>0.99990000000000001</v>
      </c>
      <c r="AI140" s="59">
        <v>9.2700000000000005E-2</v>
      </c>
      <c r="AJ140" s="108">
        <v>0.18218999999999999</v>
      </c>
      <c r="AK140" s="30"/>
      <c r="AL140" s="1"/>
      <c r="AM140" s="2"/>
      <c r="AN140" s="21"/>
      <c r="AO140" s="21"/>
      <c r="AP140" s="21"/>
      <c r="AQ140" s="21"/>
    </row>
    <row r="141" spans="1:43" ht="15.75" customHeight="1">
      <c r="A141" s="14"/>
      <c r="B141" s="15" t="s">
        <v>102</v>
      </c>
      <c r="C141" s="16">
        <v>12</v>
      </c>
      <c r="D141" s="26">
        <v>2014</v>
      </c>
      <c r="E141" s="26"/>
      <c r="F141" s="25">
        <v>-1.8700000000000001E-2</v>
      </c>
      <c r="G141" s="32">
        <v>-0.17610000000000001</v>
      </c>
      <c r="H141" s="25">
        <v>0.95909999999999995</v>
      </c>
      <c r="I141" s="25">
        <v>1.4331</v>
      </c>
      <c r="J141" s="32">
        <v>3.3399999999999999E-2</v>
      </c>
      <c r="K141" s="25">
        <v>0.1527</v>
      </c>
      <c r="L141" s="25">
        <v>4.7399999999999998E-2</v>
      </c>
      <c r="M141" s="24">
        <v>1</v>
      </c>
      <c r="N141" s="24">
        <v>1.75</v>
      </c>
      <c r="O141" s="24">
        <v>1.75</v>
      </c>
      <c r="P141" s="24">
        <v>1.75</v>
      </c>
      <c r="Q141" s="24">
        <v>1.75</v>
      </c>
      <c r="R141" s="24">
        <v>1.75</v>
      </c>
      <c r="S141" s="24">
        <v>1.75</v>
      </c>
      <c r="T141" s="24">
        <v>1.75</v>
      </c>
      <c r="U141" s="24">
        <v>1.75</v>
      </c>
      <c r="V141" s="24">
        <v>1.75</v>
      </c>
      <c r="W141" s="24">
        <v>1.75</v>
      </c>
      <c r="X141" s="27">
        <v>0.51020408163265307</v>
      </c>
      <c r="Y141" s="28">
        <v>0.10076950220611934</v>
      </c>
      <c r="Z141" s="29">
        <v>83000000</v>
      </c>
      <c r="AA141" s="22">
        <v>0</v>
      </c>
      <c r="AB141" s="22">
        <v>1</v>
      </c>
      <c r="AC141" s="23">
        <v>30</v>
      </c>
      <c r="AD141" s="23">
        <v>26</v>
      </c>
      <c r="AE141" s="23"/>
      <c r="AF141" s="24"/>
      <c r="AG141" s="24">
        <v>1</v>
      </c>
      <c r="AH141" s="57">
        <v>0.95489999999999997</v>
      </c>
      <c r="AI141" s="57">
        <v>0.55369999999999997</v>
      </c>
      <c r="AJ141" s="106">
        <v>0.18931100000000001</v>
      </c>
      <c r="AK141" s="30"/>
      <c r="AL141" s="1"/>
      <c r="AM141" s="2"/>
      <c r="AN141" s="21"/>
      <c r="AO141" s="21"/>
      <c r="AP141" s="21"/>
      <c r="AQ141" s="21"/>
    </row>
    <row r="142" spans="1:43" ht="15.75" customHeight="1">
      <c r="A142" s="14"/>
      <c r="B142" s="15" t="s">
        <v>102</v>
      </c>
      <c r="C142" s="16">
        <v>12</v>
      </c>
      <c r="D142" s="26">
        <v>2015</v>
      </c>
      <c r="E142" s="26"/>
      <c r="F142" s="25">
        <v>-2.3599999999999999E-2</v>
      </c>
      <c r="G142" s="32">
        <v>-0.15060000000000001</v>
      </c>
      <c r="H142" s="25">
        <v>0.95289999999999997</v>
      </c>
      <c r="I142" s="25">
        <v>1.1919</v>
      </c>
      <c r="J142" s="35">
        <v>6.2100000000000002E-2</v>
      </c>
      <c r="K142" s="25">
        <v>0.16139999999999999</v>
      </c>
      <c r="L142" s="25">
        <v>4.82E-2</v>
      </c>
      <c r="M142" s="23">
        <v>2</v>
      </c>
      <c r="N142" s="23">
        <v>2</v>
      </c>
      <c r="O142" s="23">
        <v>2</v>
      </c>
      <c r="P142" s="23">
        <v>2</v>
      </c>
      <c r="Q142" s="23">
        <v>2</v>
      </c>
      <c r="R142" s="23">
        <v>2</v>
      </c>
      <c r="S142" s="23">
        <v>3</v>
      </c>
      <c r="T142" s="23">
        <v>3</v>
      </c>
      <c r="U142" s="23">
        <v>2</v>
      </c>
      <c r="V142" s="23">
        <v>2</v>
      </c>
      <c r="W142" s="23">
        <v>2</v>
      </c>
      <c r="X142" s="27">
        <v>0.51020408163265307</v>
      </c>
      <c r="Y142" s="28">
        <v>0.10466871509919044</v>
      </c>
      <c r="Z142" s="29">
        <v>11915762</v>
      </c>
      <c r="AA142" s="22">
        <v>0</v>
      </c>
      <c r="AB142" s="22">
        <v>1</v>
      </c>
      <c r="AC142" s="23">
        <v>12</v>
      </c>
      <c r="AD142" s="23">
        <v>12</v>
      </c>
      <c r="AE142" s="23"/>
      <c r="AF142" s="24"/>
      <c r="AG142" s="24">
        <v>1</v>
      </c>
      <c r="AH142" s="57">
        <v>0.92589999999999995</v>
      </c>
      <c r="AI142" s="57">
        <v>0.66239999999999999</v>
      </c>
      <c r="AJ142" s="104">
        <v>0.45852999999999999</v>
      </c>
      <c r="AK142" s="30"/>
      <c r="AL142" s="1"/>
      <c r="AM142" s="2"/>
      <c r="AN142" s="21"/>
      <c r="AO142" s="21"/>
      <c r="AP142" s="21"/>
      <c r="AQ142" s="21"/>
    </row>
    <row r="143" spans="1:43" ht="15.75" customHeight="1">
      <c r="A143" s="14"/>
      <c r="B143" s="15" t="s">
        <v>102</v>
      </c>
      <c r="C143" s="31">
        <v>12</v>
      </c>
      <c r="D143" s="26">
        <v>2016</v>
      </c>
      <c r="E143" s="26"/>
      <c r="F143" s="25">
        <v>-2.1899999999999999E-2</v>
      </c>
      <c r="G143" s="32">
        <v>-0.17449999999999999</v>
      </c>
      <c r="H143" s="25">
        <v>1.0066999999999999</v>
      </c>
      <c r="I143" s="25">
        <v>1.3133999999999999</v>
      </c>
      <c r="J143" s="35">
        <v>7.4700000000000003E-2</v>
      </c>
      <c r="K143" s="25">
        <v>0.1598</v>
      </c>
      <c r="L143" s="25">
        <v>4.3499999999999997E-2</v>
      </c>
      <c r="M143" s="23">
        <v>2</v>
      </c>
      <c r="N143" s="23">
        <v>2</v>
      </c>
      <c r="O143" s="23">
        <v>2</v>
      </c>
      <c r="P143" s="23">
        <v>2</v>
      </c>
      <c r="Q143" s="23">
        <v>2</v>
      </c>
      <c r="R143" s="23">
        <v>2</v>
      </c>
      <c r="S143" s="23">
        <v>2</v>
      </c>
      <c r="T143" s="23">
        <v>2</v>
      </c>
      <c r="U143" s="23">
        <v>2</v>
      </c>
      <c r="V143" s="23">
        <v>2</v>
      </c>
      <c r="W143" s="23">
        <v>2</v>
      </c>
      <c r="X143" s="117" t="s">
        <v>194</v>
      </c>
      <c r="Y143" s="28">
        <v>7.5230297141921865E-2</v>
      </c>
      <c r="Z143" s="29">
        <v>25181959</v>
      </c>
      <c r="AA143" s="22">
        <v>0</v>
      </c>
      <c r="AB143" s="22">
        <v>0</v>
      </c>
      <c r="AC143" s="23">
        <v>13</v>
      </c>
      <c r="AD143" s="23">
        <v>13</v>
      </c>
      <c r="AE143" s="23"/>
      <c r="AF143" s="24"/>
      <c r="AG143" s="24">
        <v>1</v>
      </c>
      <c r="AH143" s="57">
        <v>0.99990000000000001</v>
      </c>
      <c r="AI143" s="57">
        <v>0.76600000000000001</v>
      </c>
      <c r="AJ143" s="104">
        <v>0.51283999999999996</v>
      </c>
      <c r="AK143" s="30"/>
      <c r="AL143" s="1"/>
      <c r="AM143" s="2"/>
      <c r="AN143" s="21"/>
      <c r="AO143" s="21"/>
      <c r="AP143" s="21"/>
      <c r="AQ143" s="21"/>
    </row>
    <row r="144" spans="1:43" ht="15.75" customHeight="1">
      <c r="A144" s="14"/>
      <c r="B144" s="15" t="s">
        <v>102</v>
      </c>
      <c r="C144" s="31">
        <v>12</v>
      </c>
      <c r="D144" s="26">
        <v>2017</v>
      </c>
      <c r="E144" s="26"/>
      <c r="F144" s="25">
        <v>3.5999999999999999E-3</v>
      </c>
      <c r="G144" s="32">
        <v>2.01E-2</v>
      </c>
      <c r="H144" s="25">
        <v>0.83589999999999998</v>
      </c>
      <c r="I144" s="25">
        <v>0.96020000000000005</v>
      </c>
      <c r="J144" s="35">
        <v>4.7E-2</v>
      </c>
      <c r="K144" s="25">
        <v>0.19289999999999999</v>
      </c>
      <c r="L144" s="25">
        <v>4.0800000000000003E-2</v>
      </c>
      <c r="M144" s="23">
        <v>2</v>
      </c>
      <c r="N144" s="23">
        <v>2</v>
      </c>
      <c r="O144" s="23">
        <v>2</v>
      </c>
      <c r="P144" s="23">
        <v>2</v>
      </c>
      <c r="Q144" s="23">
        <v>2</v>
      </c>
      <c r="R144" s="23">
        <v>2</v>
      </c>
      <c r="S144" s="23">
        <v>2</v>
      </c>
      <c r="T144" s="23">
        <v>2</v>
      </c>
      <c r="U144" s="23">
        <v>2</v>
      </c>
      <c r="V144" s="23">
        <v>2</v>
      </c>
      <c r="W144" s="23">
        <v>2</v>
      </c>
      <c r="X144" s="117" t="s">
        <v>195</v>
      </c>
      <c r="Y144" s="28">
        <v>7.6728034450360791E-2</v>
      </c>
      <c r="Z144" s="29">
        <v>57759443</v>
      </c>
      <c r="AA144" s="22">
        <v>0</v>
      </c>
      <c r="AB144" s="22">
        <v>0</v>
      </c>
      <c r="AC144" s="23">
        <v>23</v>
      </c>
      <c r="AD144" s="23">
        <v>23</v>
      </c>
      <c r="AE144" s="23"/>
      <c r="AF144" s="24"/>
      <c r="AG144" s="24">
        <v>1</v>
      </c>
      <c r="AH144" s="57">
        <v>0.99739999999999995</v>
      </c>
      <c r="AI144" s="57">
        <v>0.72699999999999998</v>
      </c>
      <c r="AJ144" s="104">
        <v>0.36108000000000001</v>
      </c>
      <c r="AK144" s="30"/>
      <c r="AL144" s="1"/>
      <c r="AM144" s="2"/>
      <c r="AN144" s="21"/>
      <c r="AO144" s="21"/>
      <c r="AP144" s="21"/>
      <c r="AQ144" s="21"/>
    </row>
    <row r="145" spans="1:43" ht="15.75" customHeight="1">
      <c r="A145" s="14"/>
      <c r="B145" s="15" t="s">
        <v>102</v>
      </c>
      <c r="C145" s="31">
        <v>12</v>
      </c>
      <c r="D145" s="26">
        <v>2018</v>
      </c>
      <c r="E145" s="26"/>
      <c r="F145" s="25">
        <v>3.2000000000000002E-3</v>
      </c>
      <c r="G145" s="32">
        <v>2.0199999999999999E-2</v>
      </c>
      <c r="H145" s="25">
        <v>0.82779999999999998</v>
      </c>
      <c r="I145" s="25">
        <v>0.96379999999999999</v>
      </c>
      <c r="J145" s="35">
        <v>4.2500000000000003E-2</v>
      </c>
      <c r="K145" s="25">
        <v>0.22070000000000001</v>
      </c>
      <c r="L145" s="25">
        <v>3.4599999999999999E-2</v>
      </c>
      <c r="M145" s="23">
        <v>2</v>
      </c>
      <c r="N145" s="23">
        <v>2</v>
      </c>
      <c r="O145" s="23">
        <v>2</v>
      </c>
      <c r="P145" s="23">
        <v>2</v>
      </c>
      <c r="Q145" s="23">
        <v>2</v>
      </c>
      <c r="R145" s="23">
        <v>2</v>
      </c>
      <c r="S145" s="23">
        <v>2</v>
      </c>
      <c r="T145" s="23">
        <v>2</v>
      </c>
      <c r="U145" s="23">
        <v>2</v>
      </c>
      <c r="V145" s="23">
        <v>2</v>
      </c>
      <c r="W145" s="23">
        <v>2</v>
      </c>
      <c r="X145" s="117" t="s">
        <v>196</v>
      </c>
      <c r="Y145" s="28">
        <v>7.9955541319245024E-2</v>
      </c>
      <c r="Z145" s="29">
        <v>31158617</v>
      </c>
      <c r="AA145" s="22">
        <v>0</v>
      </c>
      <c r="AB145" s="22">
        <v>0</v>
      </c>
      <c r="AC145" s="23">
        <v>16</v>
      </c>
      <c r="AD145" s="23">
        <v>16</v>
      </c>
      <c r="AE145" s="23"/>
      <c r="AF145" s="24"/>
      <c r="AG145" s="24">
        <v>1</v>
      </c>
      <c r="AH145" s="57">
        <v>0.99990000000000001</v>
      </c>
      <c r="AI145" s="57">
        <v>0.78900000000000003</v>
      </c>
      <c r="AJ145" s="104">
        <v>0.39671000000000001</v>
      </c>
      <c r="AK145" s="30"/>
      <c r="AL145" s="1"/>
      <c r="AM145" s="2"/>
      <c r="AN145" s="21"/>
      <c r="AO145" s="21"/>
      <c r="AP145" s="21"/>
      <c r="AQ145" s="21"/>
    </row>
    <row r="146" spans="1:43" ht="15.75" customHeight="1">
      <c r="A146" s="14"/>
      <c r="B146" s="15" t="s">
        <v>102</v>
      </c>
      <c r="C146" s="31">
        <v>12</v>
      </c>
      <c r="D146" s="26">
        <v>2019</v>
      </c>
      <c r="E146" s="26"/>
      <c r="F146" s="25">
        <v>5.0000000000000001E-4</v>
      </c>
      <c r="G146" s="32">
        <v>3.9E-2</v>
      </c>
      <c r="H146" s="25">
        <v>0.8054</v>
      </c>
      <c r="I146" s="25">
        <v>0.998</v>
      </c>
      <c r="J146" s="35">
        <v>0.08</v>
      </c>
      <c r="K146" s="25">
        <v>0.19040000000000001</v>
      </c>
      <c r="L146" s="25">
        <v>2.64E-2</v>
      </c>
      <c r="M146" s="23">
        <v>2</v>
      </c>
      <c r="N146" s="23">
        <v>2</v>
      </c>
      <c r="O146" s="23">
        <v>2</v>
      </c>
      <c r="P146" s="23">
        <v>2</v>
      </c>
      <c r="Q146" s="23">
        <v>2</v>
      </c>
      <c r="R146" s="23">
        <v>2</v>
      </c>
      <c r="S146" s="23">
        <v>2</v>
      </c>
      <c r="T146" s="23">
        <v>2</v>
      </c>
      <c r="U146" s="23">
        <v>2</v>
      </c>
      <c r="V146" s="23">
        <v>2</v>
      </c>
      <c r="W146" s="23">
        <v>2</v>
      </c>
      <c r="X146" s="117" t="s">
        <v>186</v>
      </c>
      <c r="Y146" s="28">
        <v>7.4264149809211338E-2</v>
      </c>
      <c r="Z146" s="29">
        <v>45484005</v>
      </c>
      <c r="AA146" s="22">
        <v>0</v>
      </c>
      <c r="AB146" s="22">
        <v>0</v>
      </c>
      <c r="AC146" s="23">
        <v>15</v>
      </c>
      <c r="AD146" s="23">
        <v>15</v>
      </c>
      <c r="AE146" s="23"/>
      <c r="AF146" s="24"/>
      <c r="AG146" s="24">
        <v>1</v>
      </c>
      <c r="AH146" s="57">
        <v>0.999</v>
      </c>
      <c r="AI146" s="57">
        <v>0.80200000000000005</v>
      </c>
      <c r="AJ146" s="104">
        <v>0.40483999999999998</v>
      </c>
      <c r="AK146" s="30"/>
      <c r="AL146" s="1"/>
      <c r="AM146" s="2"/>
      <c r="AN146" s="21"/>
      <c r="AO146" s="21"/>
      <c r="AP146" s="21"/>
      <c r="AQ146" s="21"/>
    </row>
    <row r="147" spans="1:43" ht="15.75" hidden="1" customHeight="1">
      <c r="A147" s="14"/>
      <c r="B147" s="15" t="s">
        <v>102</v>
      </c>
      <c r="C147" s="31">
        <v>12</v>
      </c>
      <c r="D147" s="26">
        <v>2020</v>
      </c>
      <c r="E147" s="26"/>
      <c r="F147" s="25">
        <v>1.6000000000000001E-3</v>
      </c>
      <c r="G147" s="25"/>
      <c r="H147" s="25">
        <v>0.74050000000000005</v>
      </c>
      <c r="I147" s="25">
        <v>0.97799999999999998</v>
      </c>
      <c r="J147" s="25"/>
      <c r="K147" s="25">
        <v>0.24690000000000001</v>
      </c>
      <c r="L147" s="25">
        <v>2.9000000000000001E-2</v>
      </c>
      <c r="M147" s="24">
        <v>2</v>
      </c>
      <c r="N147" s="20"/>
      <c r="O147" s="20"/>
      <c r="P147" s="20"/>
      <c r="Q147" s="20"/>
      <c r="R147" s="20"/>
      <c r="S147" s="20"/>
      <c r="T147" s="20"/>
      <c r="U147" s="20"/>
      <c r="V147" s="20"/>
      <c r="W147" s="20"/>
      <c r="X147" s="27">
        <v>0.53061224489795922</v>
      </c>
      <c r="Y147" s="24">
        <v>6.4785823511657306E-2</v>
      </c>
      <c r="Z147" s="29"/>
      <c r="AA147" s="34"/>
      <c r="AB147" s="34"/>
      <c r="AC147" s="24"/>
      <c r="AD147" s="24"/>
      <c r="AE147" s="24"/>
      <c r="AF147" s="24"/>
      <c r="AG147" s="24"/>
      <c r="AH147" s="59"/>
      <c r="AI147" s="59"/>
      <c r="AJ147" s="108"/>
      <c r="AK147" s="30"/>
      <c r="AL147" s="1"/>
      <c r="AM147" s="2"/>
      <c r="AN147" s="21"/>
      <c r="AO147" s="21"/>
      <c r="AP147" s="21"/>
      <c r="AQ147" s="21"/>
    </row>
    <row r="148" spans="1:43" ht="15.75" customHeight="1">
      <c r="A148" s="14">
        <v>13</v>
      </c>
      <c r="B148" s="46" t="s">
        <v>103</v>
      </c>
      <c r="C148" s="19">
        <v>13</v>
      </c>
      <c r="D148" s="19">
        <v>2018</v>
      </c>
      <c r="E148" s="19" t="s">
        <v>117</v>
      </c>
      <c r="F148" s="32">
        <v>1.9199999999999998E-2</v>
      </c>
      <c r="G148" s="32">
        <v>8.9200000000000002E-2</v>
      </c>
      <c r="H148" s="32">
        <v>0.98929999999999996</v>
      </c>
      <c r="I148" s="32">
        <v>0.86880000000000002</v>
      </c>
      <c r="J148" s="32">
        <v>6.6100000000000006E-2</v>
      </c>
      <c r="K148" s="32">
        <v>0.35420000000000001</v>
      </c>
      <c r="L148" s="32">
        <v>5.7000000000000002E-3</v>
      </c>
      <c r="M148" s="24">
        <v>2</v>
      </c>
      <c r="N148" s="24">
        <v>2</v>
      </c>
      <c r="O148" s="24">
        <v>2</v>
      </c>
      <c r="P148" s="24">
        <v>2</v>
      </c>
      <c r="Q148" s="24">
        <v>2</v>
      </c>
      <c r="R148" s="24">
        <v>2</v>
      </c>
      <c r="S148" s="24">
        <v>2</v>
      </c>
      <c r="T148" s="24">
        <v>2</v>
      </c>
      <c r="U148" s="24">
        <v>2</v>
      </c>
      <c r="V148" s="24">
        <v>2</v>
      </c>
      <c r="W148" s="24">
        <v>2</v>
      </c>
      <c r="X148" s="115" t="s">
        <v>175</v>
      </c>
      <c r="Y148" s="24"/>
      <c r="Z148" s="29">
        <v>3000000</v>
      </c>
      <c r="AA148" s="22">
        <v>0</v>
      </c>
      <c r="AB148" s="22">
        <v>0</v>
      </c>
      <c r="AC148" s="45">
        <v>7</v>
      </c>
      <c r="AD148" s="45">
        <v>7</v>
      </c>
      <c r="AE148" s="24"/>
      <c r="AF148" s="24"/>
      <c r="AG148" s="24">
        <v>1</v>
      </c>
      <c r="AH148" s="58">
        <v>0.99839999999999995</v>
      </c>
      <c r="AI148" s="58">
        <v>9.3399999999999997E-2</v>
      </c>
      <c r="AJ148" s="108">
        <v>1.9089</v>
      </c>
      <c r="AK148" s="30"/>
      <c r="AL148" s="1"/>
      <c r="AM148" s="2"/>
      <c r="AN148" s="21"/>
      <c r="AO148" s="21"/>
      <c r="AP148" s="21"/>
      <c r="AQ148" s="21"/>
    </row>
    <row r="149" spans="1:43" ht="15.75" customHeight="1">
      <c r="A149" s="14"/>
      <c r="B149" s="46" t="s">
        <v>103</v>
      </c>
      <c r="C149" s="19">
        <v>13</v>
      </c>
      <c r="D149" s="19">
        <v>2019</v>
      </c>
      <c r="E149" s="19"/>
      <c r="F149" s="32">
        <v>2.5600000000000001E-2</v>
      </c>
      <c r="G149" s="32">
        <v>1.2050000000000001</v>
      </c>
      <c r="H149" s="32">
        <v>0.81889999999999996</v>
      </c>
      <c r="I149" s="32">
        <v>0.76829999999999998</v>
      </c>
      <c r="J149" s="32">
        <v>0.55100000000000005</v>
      </c>
      <c r="K149" s="32">
        <v>0.35470000000000002</v>
      </c>
      <c r="L149" s="32">
        <v>6.0999999999999999E-2</v>
      </c>
      <c r="M149" s="24">
        <v>2</v>
      </c>
      <c r="N149" s="24">
        <v>2</v>
      </c>
      <c r="O149" s="24">
        <v>2</v>
      </c>
      <c r="P149" s="24">
        <v>2</v>
      </c>
      <c r="Q149" s="24">
        <v>2</v>
      </c>
      <c r="R149" s="24">
        <v>2</v>
      </c>
      <c r="S149" s="24">
        <v>2</v>
      </c>
      <c r="T149" s="24">
        <v>2</v>
      </c>
      <c r="U149" s="24">
        <v>2</v>
      </c>
      <c r="V149" s="24">
        <v>2</v>
      </c>
      <c r="W149" s="24">
        <v>2</v>
      </c>
      <c r="X149" s="115" t="s">
        <v>175</v>
      </c>
      <c r="Y149" s="24"/>
      <c r="Z149" s="29">
        <v>14000000</v>
      </c>
      <c r="AA149" s="22">
        <v>0</v>
      </c>
      <c r="AB149" s="22">
        <v>0</v>
      </c>
      <c r="AC149" s="45">
        <v>36</v>
      </c>
      <c r="AD149" s="45">
        <v>17</v>
      </c>
      <c r="AE149" s="24"/>
      <c r="AF149" s="24"/>
      <c r="AG149" s="24">
        <v>1</v>
      </c>
      <c r="AH149" s="58">
        <v>0.99870000000000003</v>
      </c>
      <c r="AI149" s="58">
        <v>0.58850000000000002</v>
      </c>
      <c r="AJ149" s="108">
        <v>1.9689000000000001</v>
      </c>
      <c r="AK149" s="30"/>
      <c r="AL149" s="1"/>
      <c r="AM149" s="2"/>
      <c r="AN149" s="21"/>
      <c r="AO149" s="21"/>
      <c r="AP149" s="21"/>
      <c r="AQ149" s="21"/>
    </row>
    <row r="150" spans="1:43" ht="15.75" customHeight="1">
      <c r="A150" s="14">
        <v>14</v>
      </c>
      <c r="B150" s="46" t="s">
        <v>104</v>
      </c>
      <c r="C150" s="19">
        <v>14</v>
      </c>
      <c r="D150" s="19">
        <v>2011</v>
      </c>
      <c r="E150" s="19" t="s">
        <v>118</v>
      </c>
      <c r="F150" s="38">
        <v>3.5700000000000003E-2</v>
      </c>
      <c r="G150" s="38">
        <v>4.9200000000000001E-2</v>
      </c>
      <c r="H150" s="38">
        <v>2.8919999999999999</v>
      </c>
      <c r="I150" s="38">
        <v>0.55179999999999996</v>
      </c>
      <c r="J150" s="38">
        <v>5.9200000000000003E-2</v>
      </c>
      <c r="K150" s="38">
        <v>7.3400000000000007E-2</v>
      </c>
      <c r="L150" s="38">
        <v>0</v>
      </c>
      <c r="M150" s="90">
        <v>1</v>
      </c>
      <c r="N150" s="90">
        <v>1</v>
      </c>
      <c r="O150" s="90">
        <v>1</v>
      </c>
      <c r="P150" s="90">
        <v>1</v>
      </c>
      <c r="Q150" s="90">
        <v>1</v>
      </c>
      <c r="R150" s="90">
        <v>1</v>
      </c>
      <c r="S150" s="90">
        <v>1</v>
      </c>
      <c r="T150" s="90">
        <v>1</v>
      </c>
      <c r="U150" s="90">
        <v>1</v>
      </c>
      <c r="V150" s="90">
        <v>1</v>
      </c>
      <c r="W150" s="90">
        <v>1</v>
      </c>
      <c r="X150" s="71">
        <v>0.40600000000000003</v>
      </c>
      <c r="Y150" s="24"/>
      <c r="Z150" s="67">
        <v>0</v>
      </c>
      <c r="AA150" s="34">
        <v>1</v>
      </c>
      <c r="AB150" s="34">
        <v>1</v>
      </c>
      <c r="AC150" s="45">
        <v>23</v>
      </c>
      <c r="AD150" s="45">
        <v>33</v>
      </c>
      <c r="AE150" s="24">
        <v>29</v>
      </c>
      <c r="AF150" s="24"/>
      <c r="AG150" s="24">
        <v>1</v>
      </c>
      <c r="AH150" s="58">
        <v>0.99960000000000004</v>
      </c>
      <c r="AI150" s="58">
        <v>0.34160000000000001</v>
      </c>
      <c r="AJ150" s="110">
        <v>1.5057</v>
      </c>
      <c r="AK150" s="30" t="s">
        <v>122</v>
      </c>
      <c r="AL150" s="1"/>
      <c r="AM150" s="2"/>
      <c r="AN150" s="21"/>
      <c r="AO150" s="21"/>
      <c r="AP150" s="21"/>
      <c r="AQ150" s="21"/>
    </row>
    <row r="151" spans="1:43" ht="15.75" customHeight="1">
      <c r="A151" s="14"/>
      <c r="B151" s="46" t="s">
        <v>104</v>
      </c>
      <c r="C151" s="19">
        <v>14</v>
      </c>
      <c r="D151" s="19">
        <f t="shared" ref="D151:D158" si="0">D150+1</f>
        <v>2012</v>
      </c>
      <c r="E151" s="19"/>
      <c r="F151" s="38">
        <v>2.8799999999999999E-2</v>
      </c>
      <c r="G151" s="38">
        <v>4.9299999999999997E-2</v>
      </c>
      <c r="H151" s="38">
        <v>1.9770000000000001</v>
      </c>
      <c r="I151" s="38">
        <v>0.53769999999999996</v>
      </c>
      <c r="J151" s="38">
        <v>5.7799999999999997E-2</v>
      </c>
      <c r="K151" s="38">
        <v>6.3799999999999996E-2</v>
      </c>
      <c r="L151" s="38">
        <v>1.2500000000000001E-2</v>
      </c>
      <c r="M151" s="24">
        <v>4</v>
      </c>
      <c r="N151" s="24">
        <v>2</v>
      </c>
      <c r="O151" s="24">
        <v>2</v>
      </c>
      <c r="P151" s="24">
        <v>2</v>
      </c>
      <c r="Q151" s="24">
        <v>2</v>
      </c>
      <c r="R151" s="24">
        <v>2</v>
      </c>
      <c r="S151" s="24">
        <v>2</v>
      </c>
      <c r="T151" s="24">
        <v>3</v>
      </c>
      <c r="U151" s="24">
        <v>2</v>
      </c>
      <c r="V151" s="24">
        <v>2</v>
      </c>
      <c r="W151" s="24">
        <v>2</v>
      </c>
      <c r="X151" s="71">
        <v>0.55600000000000005</v>
      </c>
      <c r="Y151" s="24"/>
      <c r="Z151" s="67">
        <v>0</v>
      </c>
      <c r="AA151" s="34">
        <v>1</v>
      </c>
      <c r="AB151" s="34">
        <v>1</v>
      </c>
      <c r="AC151" s="45">
        <v>19</v>
      </c>
      <c r="AD151" s="45">
        <v>24</v>
      </c>
      <c r="AE151" s="24">
        <v>24</v>
      </c>
      <c r="AF151" s="24"/>
      <c r="AG151" s="24">
        <v>1</v>
      </c>
      <c r="AH151" s="58">
        <v>0.99970000000000003</v>
      </c>
      <c r="AI151" s="58">
        <v>0.7419</v>
      </c>
      <c r="AJ151" s="110">
        <v>1.2613000000000001</v>
      </c>
      <c r="AK151" s="30" t="s">
        <v>122</v>
      </c>
      <c r="AL151" s="1"/>
      <c r="AM151" s="2"/>
      <c r="AN151" s="21"/>
      <c r="AO151" s="21"/>
      <c r="AP151" s="21"/>
      <c r="AQ151" s="21"/>
    </row>
    <row r="152" spans="1:43" ht="15.75" customHeight="1">
      <c r="A152" s="14"/>
      <c r="B152" s="46" t="s">
        <v>104</v>
      </c>
      <c r="C152" s="19">
        <v>14</v>
      </c>
      <c r="D152" s="19">
        <f t="shared" si="0"/>
        <v>2013</v>
      </c>
      <c r="E152" s="19"/>
      <c r="F152" s="38">
        <v>2.87E-2</v>
      </c>
      <c r="G152" s="38">
        <v>5.0500000000000003E-2</v>
      </c>
      <c r="H152" s="38">
        <v>1.5286999999999999</v>
      </c>
      <c r="I152" s="38">
        <v>0.67789999999999995</v>
      </c>
      <c r="J152" s="38">
        <v>5.6099999999999997E-2</v>
      </c>
      <c r="K152" s="38">
        <v>5.9400000000000001E-2</v>
      </c>
      <c r="L152" s="38">
        <v>0</v>
      </c>
      <c r="M152" s="24">
        <v>2</v>
      </c>
      <c r="N152" s="24">
        <v>3</v>
      </c>
      <c r="O152" s="24">
        <v>2</v>
      </c>
      <c r="P152" s="24">
        <v>2</v>
      </c>
      <c r="Q152" s="24">
        <v>2</v>
      </c>
      <c r="R152" s="24">
        <v>2</v>
      </c>
      <c r="S152" s="24">
        <v>2</v>
      </c>
      <c r="T152" s="24">
        <v>2</v>
      </c>
      <c r="U152" s="24">
        <v>2</v>
      </c>
      <c r="V152" s="24">
        <v>2</v>
      </c>
      <c r="W152" s="24">
        <v>2</v>
      </c>
      <c r="X152" s="71">
        <v>0.58899999999999997</v>
      </c>
      <c r="Y152" s="24"/>
      <c r="Z152" s="67">
        <v>0</v>
      </c>
      <c r="AA152" s="34">
        <v>1</v>
      </c>
      <c r="AB152" s="34">
        <v>1</v>
      </c>
      <c r="AC152" s="45">
        <v>30</v>
      </c>
      <c r="AD152" s="45">
        <v>33</v>
      </c>
      <c r="AE152" s="24">
        <v>32</v>
      </c>
      <c r="AF152" s="24"/>
      <c r="AG152" s="24">
        <v>1</v>
      </c>
      <c r="AH152" s="58">
        <v>0.98540000000000005</v>
      </c>
      <c r="AI152" s="59">
        <v>6.9999999999999999E-4</v>
      </c>
      <c r="AJ152" s="110">
        <v>0.93359999999999999</v>
      </c>
      <c r="AK152" s="30" t="s">
        <v>122</v>
      </c>
      <c r="AL152" s="1"/>
      <c r="AM152" s="2"/>
      <c r="AN152" s="21"/>
      <c r="AO152" s="21"/>
      <c r="AP152" s="21"/>
      <c r="AQ152" s="21"/>
    </row>
    <row r="153" spans="1:43" ht="15.75" customHeight="1">
      <c r="A153" s="14"/>
      <c r="B153" s="46" t="s">
        <v>104</v>
      </c>
      <c r="C153" s="19">
        <v>14</v>
      </c>
      <c r="D153" s="19">
        <f t="shared" si="0"/>
        <v>2014</v>
      </c>
      <c r="E153" s="19"/>
      <c r="F153" s="32">
        <v>3.61E-2</v>
      </c>
      <c r="G153" s="32">
        <v>6.83E-2</v>
      </c>
      <c r="H153" s="32">
        <v>1.1053999999999999</v>
      </c>
      <c r="I153" s="32">
        <v>0.69599999999999995</v>
      </c>
      <c r="J153" s="32">
        <v>6.6500000000000004E-2</v>
      </c>
      <c r="K153" s="32">
        <v>5.2130000000000003E-2</v>
      </c>
      <c r="L153" s="32">
        <v>4.2900000000000001E-2</v>
      </c>
      <c r="M153" s="23">
        <v>1</v>
      </c>
      <c r="N153" s="23">
        <v>1</v>
      </c>
      <c r="O153" s="23">
        <v>1</v>
      </c>
      <c r="P153" s="23">
        <v>1</v>
      </c>
      <c r="Q153" s="23">
        <v>1</v>
      </c>
      <c r="R153" s="23">
        <v>1</v>
      </c>
      <c r="S153" s="23">
        <v>1</v>
      </c>
      <c r="T153" s="23">
        <v>1</v>
      </c>
      <c r="U153" s="23">
        <v>1</v>
      </c>
      <c r="V153" s="23">
        <v>1</v>
      </c>
      <c r="W153" s="23">
        <v>1</v>
      </c>
      <c r="X153" s="71">
        <v>0.59499999999999997</v>
      </c>
      <c r="Y153" s="24"/>
      <c r="Z153" s="67">
        <v>0</v>
      </c>
      <c r="AA153" s="34">
        <v>1</v>
      </c>
      <c r="AB153" s="34">
        <v>1</v>
      </c>
      <c r="AC153" s="45">
        <v>32</v>
      </c>
      <c r="AD153" s="45">
        <v>35</v>
      </c>
      <c r="AE153" s="24">
        <v>27</v>
      </c>
      <c r="AF153" s="24"/>
      <c r="AG153" s="24">
        <v>1</v>
      </c>
      <c r="AH153" s="57">
        <v>0.99990000000000001</v>
      </c>
      <c r="AI153" s="57">
        <v>0.15559999999999999</v>
      </c>
      <c r="AJ153" s="110" t="s">
        <v>172</v>
      </c>
      <c r="AK153" s="30" t="s">
        <v>122</v>
      </c>
      <c r="AL153" s="1"/>
      <c r="AM153" s="2"/>
      <c r="AN153" s="21"/>
      <c r="AO153" s="21"/>
      <c r="AP153" s="21"/>
      <c r="AQ153" s="21"/>
    </row>
    <row r="154" spans="1:43" ht="15.75" customHeight="1">
      <c r="A154" s="14"/>
      <c r="B154" s="46" t="s">
        <v>104</v>
      </c>
      <c r="C154" s="19">
        <v>14</v>
      </c>
      <c r="D154" s="19">
        <f t="shared" si="0"/>
        <v>2015</v>
      </c>
      <c r="E154" s="19"/>
      <c r="F154" s="32">
        <v>-0.20130000000000001</v>
      </c>
      <c r="G154" s="32">
        <v>-0.32040000000000002</v>
      </c>
      <c r="H154" s="32">
        <v>1.1054E-2</v>
      </c>
      <c r="I154" s="32">
        <v>1.9259999999999999</v>
      </c>
      <c r="J154" s="32">
        <v>6.54E-2</v>
      </c>
      <c r="K154" s="32">
        <v>3.8399999999999997E-2</v>
      </c>
      <c r="L154" s="32">
        <v>4.9299999999999997E-2</v>
      </c>
      <c r="M154" s="23">
        <v>2</v>
      </c>
      <c r="N154" s="23">
        <v>2</v>
      </c>
      <c r="O154" s="23">
        <v>2</v>
      </c>
      <c r="P154" s="23">
        <v>2</v>
      </c>
      <c r="Q154" s="23">
        <v>2</v>
      </c>
      <c r="R154" s="23">
        <v>2</v>
      </c>
      <c r="S154" s="23">
        <v>2</v>
      </c>
      <c r="T154" s="23">
        <v>2</v>
      </c>
      <c r="U154" s="23">
        <v>2</v>
      </c>
      <c r="V154" s="23">
        <v>2</v>
      </c>
      <c r="W154" s="23">
        <v>2</v>
      </c>
      <c r="X154" s="71">
        <v>0.29166666699999999</v>
      </c>
      <c r="Y154" s="24"/>
      <c r="Z154" s="67">
        <v>0</v>
      </c>
      <c r="AA154" s="34">
        <v>1</v>
      </c>
      <c r="AB154" s="34">
        <v>1</v>
      </c>
      <c r="AC154" s="45">
        <v>26</v>
      </c>
      <c r="AD154" s="45">
        <v>26</v>
      </c>
      <c r="AE154" s="24">
        <v>26</v>
      </c>
      <c r="AF154" s="24"/>
      <c r="AG154" s="24">
        <v>1</v>
      </c>
      <c r="AH154" s="57">
        <v>0.99590000000000001</v>
      </c>
      <c r="AI154" s="57">
        <v>0.1285</v>
      </c>
      <c r="AJ154" s="104">
        <v>0.38</v>
      </c>
      <c r="AK154" s="30" t="s">
        <v>122</v>
      </c>
      <c r="AL154" s="1"/>
      <c r="AM154" s="2"/>
      <c r="AN154" s="21"/>
      <c r="AO154" s="21"/>
      <c r="AP154" s="21"/>
      <c r="AQ154" s="21"/>
    </row>
    <row r="155" spans="1:43" ht="15.75" customHeight="1">
      <c r="A155" s="14"/>
      <c r="B155" s="46" t="s">
        <v>104</v>
      </c>
      <c r="C155" s="19">
        <v>14</v>
      </c>
      <c r="D155" s="19">
        <f t="shared" si="0"/>
        <v>2016</v>
      </c>
      <c r="E155" s="19"/>
      <c r="F155" s="32">
        <v>-9.5100000000000004E-2</v>
      </c>
      <c r="G155" s="32">
        <v>-0.2762</v>
      </c>
      <c r="H155" s="32">
        <v>1.3472999999999999</v>
      </c>
      <c r="I155" s="32">
        <v>1.6028</v>
      </c>
      <c r="J155" s="32">
        <v>4.99E-2</v>
      </c>
      <c r="K155" s="32">
        <v>0.55059999999999998</v>
      </c>
      <c r="L155" s="32">
        <v>4.5999999999999999E-2</v>
      </c>
      <c r="M155" s="23">
        <v>2</v>
      </c>
      <c r="N155" s="23">
        <v>2</v>
      </c>
      <c r="O155" s="23">
        <v>2</v>
      </c>
      <c r="P155" s="23">
        <v>2</v>
      </c>
      <c r="Q155" s="23">
        <v>2</v>
      </c>
      <c r="R155" s="23">
        <v>2</v>
      </c>
      <c r="S155" s="23">
        <v>2</v>
      </c>
      <c r="T155" s="23">
        <v>2</v>
      </c>
      <c r="U155" s="23">
        <v>2</v>
      </c>
      <c r="V155" s="23">
        <v>2</v>
      </c>
      <c r="W155" s="23">
        <v>2</v>
      </c>
      <c r="X155" s="71">
        <v>0.33333333300000001</v>
      </c>
      <c r="Y155" s="24"/>
      <c r="Z155" s="67">
        <v>0</v>
      </c>
      <c r="AA155" s="34">
        <v>1</v>
      </c>
      <c r="AB155" s="34">
        <v>1</v>
      </c>
      <c r="AC155" s="24">
        <v>16</v>
      </c>
      <c r="AD155" s="24">
        <v>11</v>
      </c>
      <c r="AE155" s="24">
        <v>14</v>
      </c>
      <c r="AF155" s="24"/>
      <c r="AG155" s="24">
        <v>1</v>
      </c>
      <c r="AH155" s="57">
        <v>0.99980000000000002</v>
      </c>
      <c r="AI155" s="57">
        <v>0.42399999999999999</v>
      </c>
      <c r="AJ155" s="104">
        <v>0.37</v>
      </c>
      <c r="AK155" s="30" t="s">
        <v>122</v>
      </c>
      <c r="AL155" s="1"/>
      <c r="AM155" s="2"/>
      <c r="AN155" s="21"/>
      <c r="AO155" s="21"/>
      <c r="AP155" s="21"/>
      <c r="AQ155" s="21"/>
    </row>
    <row r="156" spans="1:43" ht="15.75" customHeight="1">
      <c r="A156" s="14"/>
      <c r="B156" s="46" t="s">
        <v>104</v>
      </c>
      <c r="C156" s="19">
        <v>14</v>
      </c>
      <c r="D156" s="19">
        <f t="shared" si="0"/>
        <v>2017</v>
      </c>
      <c r="E156" s="19"/>
      <c r="F156" s="32">
        <v>5.5E-2</v>
      </c>
      <c r="G156" s="32">
        <v>-1.78E-2</v>
      </c>
      <c r="H156" s="32">
        <v>0.85940000000000005</v>
      </c>
      <c r="I156" s="32">
        <v>0.83360000000000001</v>
      </c>
      <c r="J156" s="32">
        <v>8.7900000000000006E-2</v>
      </c>
      <c r="K156" s="32">
        <v>0.75829999999999997</v>
      </c>
      <c r="L156" s="32">
        <v>0</v>
      </c>
      <c r="M156" s="23">
        <v>1</v>
      </c>
      <c r="N156" s="23">
        <v>1</v>
      </c>
      <c r="O156" s="23">
        <v>1</v>
      </c>
      <c r="P156" s="23">
        <v>1</v>
      </c>
      <c r="Q156" s="23">
        <v>1</v>
      </c>
      <c r="R156" s="23">
        <v>1</v>
      </c>
      <c r="S156" s="23">
        <v>1</v>
      </c>
      <c r="T156" s="23">
        <v>1</v>
      </c>
      <c r="U156" s="23">
        <v>1</v>
      </c>
      <c r="V156" s="23">
        <v>1</v>
      </c>
      <c r="W156" s="23">
        <v>1</v>
      </c>
      <c r="X156" s="71">
        <v>0.41860000000000003</v>
      </c>
      <c r="Y156" s="24"/>
      <c r="Z156" s="67">
        <v>0</v>
      </c>
      <c r="AA156" s="34">
        <v>1</v>
      </c>
      <c r="AB156" s="34">
        <v>1</v>
      </c>
      <c r="AC156" s="24">
        <v>21</v>
      </c>
      <c r="AD156" s="24">
        <v>8</v>
      </c>
      <c r="AE156" s="24">
        <v>23</v>
      </c>
      <c r="AF156" s="24">
        <v>0</v>
      </c>
      <c r="AG156" s="24">
        <v>1</v>
      </c>
      <c r="AH156" s="57">
        <v>0.99970000000000003</v>
      </c>
      <c r="AI156" s="57">
        <v>0.83599999999999997</v>
      </c>
      <c r="AJ156" s="104">
        <v>1.74</v>
      </c>
      <c r="AK156" s="30" t="s">
        <v>122</v>
      </c>
      <c r="AL156" s="1"/>
      <c r="AM156" s="2"/>
      <c r="AN156" s="21"/>
      <c r="AO156" s="21"/>
      <c r="AP156" s="21"/>
      <c r="AQ156" s="21"/>
    </row>
    <row r="157" spans="1:43" ht="15.75" customHeight="1">
      <c r="A157" s="14"/>
      <c r="B157" s="46" t="s">
        <v>104</v>
      </c>
      <c r="C157" s="19">
        <v>14</v>
      </c>
      <c r="D157" s="19">
        <f t="shared" si="0"/>
        <v>2018</v>
      </c>
      <c r="E157" s="19"/>
      <c r="F157" s="32">
        <v>-6.8599999999999994E-2</v>
      </c>
      <c r="G157" s="32">
        <v>-0.1128</v>
      </c>
      <c r="H157" s="32">
        <v>4249.2353000000003</v>
      </c>
      <c r="I157" s="32">
        <v>1.9997</v>
      </c>
      <c r="J157" s="32">
        <v>0.18279999999999999</v>
      </c>
      <c r="K157" s="32">
        <v>1.6307</v>
      </c>
      <c r="L157" s="32">
        <v>0</v>
      </c>
      <c r="M157" s="23">
        <v>1</v>
      </c>
      <c r="N157" s="23">
        <v>1</v>
      </c>
      <c r="O157" s="23">
        <v>1</v>
      </c>
      <c r="P157" s="23">
        <v>1</v>
      </c>
      <c r="Q157" s="23">
        <v>1</v>
      </c>
      <c r="R157" s="23">
        <v>1</v>
      </c>
      <c r="S157" s="23">
        <v>1</v>
      </c>
      <c r="T157" s="23">
        <v>1</v>
      </c>
      <c r="U157" s="23">
        <v>1</v>
      </c>
      <c r="V157" s="23">
        <v>1</v>
      </c>
      <c r="W157" s="23">
        <v>1</v>
      </c>
      <c r="X157" s="71">
        <v>0.46511999999999998</v>
      </c>
      <c r="Y157" s="24"/>
      <c r="Z157" s="67">
        <v>24314000</v>
      </c>
      <c r="AA157" s="34">
        <v>1</v>
      </c>
      <c r="AB157" s="34">
        <v>1</v>
      </c>
      <c r="AC157" s="24">
        <v>18</v>
      </c>
      <c r="AD157" s="24">
        <v>17</v>
      </c>
      <c r="AE157" s="24">
        <v>17</v>
      </c>
      <c r="AF157" s="24"/>
      <c r="AG157" s="24">
        <v>1</v>
      </c>
      <c r="AH157" s="57">
        <v>0.99939999999999996</v>
      </c>
      <c r="AI157" s="57">
        <v>0</v>
      </c>
      <c r="AJ157" s="104">
        <v>0.38</v>
      </c>
      <c r="AK157" s="30"/>
      <c r="AL157" s="1"/>
      <c r="AM157" s="2"/>
      <c r="AN157" s="21"/>
      <c r="AO157" s="21"/>
      <c r="AP157" s="21"/>
      <c r="AQ157" s="21"/>
    </row>
    <row r="158" spans="1:43" ht="15.75" customHeight="1">
      <c r="A158" s="14"/>
      <c r="B158" s="46" t="s">
        <v>104</v>
      </c>
      <c r="C158" s="19">
        <v>14</v>
      </c>
      <c r="D158" s="19">
        <f t="shared" si="0"/>
        <v>2019</v>
      </c>
      <c r="E158" s="83">
        <v>43617</v>
      </c>
      <c r="F158" s="32">
        <v>1.4500000000000001E-2</v>
      </c>
      <c r="G158" s="32">
        <v>7.7299999999999994E-2</v>
      </c>
      <c r="H158" s="35">
        <v>3.0067409999999999E-2</v>
      </c>
      <c r="I158" s="32">
        <v>8.7090000000000001E-2</v>
      </c>
      <c r="J158" s="32">
        <v>5.0700000000000002E-2</v>
      </c>
      <c r="K158" s="35">
        <v>4.045E-2</v>
      </c>
      <c r="L158" s="35">
        <v>0.02</v>
      </c>
      <c r="M158" s="23">
        <v>1</v>
      </c>
      <c r="N158" s="23">
        <v>1</v>
      </c>
      <c r="O158" s="23">
        <v>1</v>
      </c>
      <c r="P158" s="23">
        <v>1</v>
      </c>
      <c r="Q158" s="23">
        <v>1</v>
      </c>
      <c r="R158" s="23">
        <v>1</v>
      </c>
      <c r="S158" s="23">
        <v>1</v>
      </c>
      <c r="T158" s="23">
        <v>1</v>
      </c>
      <c r="U158" s="23">
        <v>1</v>
      </c>
      <c r="V158" s="23">
        <v>1</v>
      </c>
      <c r="W158" s="23">
        <v>1</v>
      </c>
      <c r="X158" s="71">
        <v>0.44185999999999998</v>
      </c>
      <c r="Y158" s="24"/>
      <c r="Z158" s="67">
        <v>31455000</v>
      </c>
      <c r="AA158" s="84">
        <v>1</v>
      </c>
      <c r="AB158" s="84">
        <v>1</v>
      </c>
      <c r="AC158" s="45">
        <v>20</v>
      </c>
      <c r="AD158" s="45">
        <v>20</v>
      </c>
      <c r="AE158" s="24">
        <v>13</v>
      </c>
      <c r="AF158" s="24"/>
      <c r="AG158" s="24">
        <v>1</v>
      </c>
      <c r="AH158" s="57">
        <v>0.99990000000000001</v>
      </c>
      <c r="AI158" s="57">
        <v>0</v>
      </c>
      <c r="AJ158" s="104" t="s">
        <v>173</v>
      </c>
      <c r="AK158" s="30"/>
      <c r="AL158" s="1"/>
      <c r="AM158" s="2"/>
      <c r="AN158" s="21"/>
      <c r="AO158" s="21"/>
      <c r="AP158" s="21"/>
      <c r="AQ158" s="21"/>
    </row>
    <row r="159" spans="1:43" ht="15.75" customHeight="1">
      <c r="A159" s="14"/>
      <c r="B159" s="47"/>
      <c r="C159" s="21"/>
      <c r="D159" s="21"/>
      <c r="E159" s="21"/>
      <c r="F159" s="21"/>
      <c r="G159" s="21"/>
      <c r="H159" s="21"/>
      <c r="I159" s="21"/>
      <c r="J159" s="21"/>
      <c r="K159" s="21"/>
      <c r="L159" s="21"/>
      <c r="M159" s="21"/>
      <c r="N159" s="21"/>
      <c r="O159" s="21"/>
      <c r="P159" s="21"/>
      <c r="Q159" s="21"/>
      <c r="R159" s="21"/>
      <c r="S159" s="21"/>
      <c r="T159" s="21"/>
      <c r="U159" s="21"/>
      <c r="V159" s="21"/>
      <c r="W159" s="21"/>
      <c r="X159" s="48"/>
      <c r="Y159" s="21"/>
      <c r="Z159" s="21"/>
      <c r="AA159" s="85"/>
      <c r="AB159" s="85"/>
      <c r="AC159" s="21"/>
      <c r="AD159" s="21"/>
      <c r="AE159" s="21"/>
      <c r="AF159" s="21"/>
      <c r="AG159" s="21"/>
      <c r="AH159" s="100"/>
      <c r="AI159" s="100"/>
      <c r="AJ159" s="111"/>
      <c r="AK159" s="21"/>
      <c r="AL159" s="1"/>
      <c r="AM159" s="2"/>
      <c r="AN159" s="21"/>
      <c r="AO159" s="21"/>
      <c r="AP159" s="21"/>
      <c r="AQ159" s="21"/>
    </row>
    <row r="160" spans="1:43" ht="15.75" customHeight="1">
      <c r="A160" s="14"/>
      <c r="B160" s="47"/>
      <c r="C160" s="21"/>
      <c r="D160" s="21"/>
      <c r="E160" s="21"/>
      <c r="F160" s="21"/>
      <c r="G160" s="21"/>
      <c r="H160" s="21"/>
      <c r="I160" s="21"/>
      <c r="J160" s="21"/>
      <c r="K160" s="21"/>
      <c r="L160" s="21"/>
      <c r="M160" s="21"/>
      <c r="N160" s="21"/>
      <c r="O160" s="21"/>
      <c r="P160" s="21"/>
      <c r="Q160" s="21"/>
      <c r="R160" s="21"/>
      <c r="S160" s="21"/>
      <c r="T160" s="21"/>
      <c r="U160" s="21"/>
      <c r="V160" s="21"/>
      <c r="W160" s="21"/>
      <c r="X160" s="49"/>
      <c r="Y160" s="21"/>
      <c r="Z160" s="21"/>
      <c r="AA160" s="21"/>
      <c r="AB160" s="21"/>
      <c r="AC160" s="21"/>
      <c r="AD160" s="21"/>
      <c r="AE160" s="21"/>
      <c r="AF160" s="21"/>
      <c r="AG160" s="21"/>
      <c r="AH160" s="100"/>
      <c r="AI160" s="100"/>
      <c r="AJ160" s="111"/>
      <c r="AK160" s="21"/>
      <c r="AL160" s="1"/>
      <c r="AM160" s="2"/>
      <c r="AN160" s="21"/>
      <c r="AO160" s="21"/>
      <c r="AP160" s="21"/>
      <c r="AQ160" s="21"/>
    </row>
    <row r="161" spans="1:43" ht="15.75" customHeight="1">
      <c r="A161" s="14"/>
      <c r="B161" s="47"/>
      <c r="C161" s="21"/>
      <c r="D161" s="21"/>
      <c r="E161" s="21"/>
      <c r="F161" s="21"/>
      <c r="G161" s="21"/>
      <c r="H161" s="21"/>
      <c r="I161" s="21"/>
      <c r="J161" s="21"/>
      <c r="K161" s="21"/>
      <c r="L161" s="21"/>
      <c r="M161" s="21"/>
      <c r="N161" s="21"/>
      <c r="O161" s="21"/>
      <c r="P161" s="21"/>
      <c r="Q161" s="21"/>
      <c r="R161" s="21"/>
      <c r="S161" s="21"/>
      <c r="T161" s="21"/>
      <c r="U161" s="21"/>
      <c r="V161" s="21"/>
      <c r="W161" s="21"/>
      <c r="X161" s="48"/>
      <c r="Y161" s="21"/>
      <c r="Z161" s="21"/>
      <c r="AA161" s="21"/>
      <c r="AB161" s="21"/>
      <c r="AC161" s="21"/>
      <c r="AD161" s="21"/>
      <c r="AE161" s="21"/>
      <c r="AF161" s="21"/>
      <c r="AG161" s="21"/>
      <c r="AH161" s="100"/>
      <c r="AI161" s="100"/>
      <c r="AJ161" s="111"/>
      <c r="AK161" s="21"/>
      <c r="AL161" s="1"/>
      <c r="AM161" s="2"/>
      <c r="AN161" s="21"/>
      <c r="AO161" s="21"/>
      <c r="AP161" s="21"/>
      <c r="AQ161" s="21"/>
    </row>
    <row r="162" spans="1:43" ht="15.75" customHeight="1">
      <c r="A162" s="14"/>
      <c r="B162" s="47"/>
      <c r="C162" s="21"/>
      <c r="D162" s="21"/>
      <c r="E162" s="21"/>
      <c r="F162" s="21"/>
      <c r="G162" s="21"/>
      <c r="H162" s="21"/>
      <c r="I162" s="21"/>
      <c r="J162" s="21"/>
      <c r="K162" s="21"/>
      <c r="L162" s="21"/>
      <c r="M162" s="21"/>
      <c r="N162" s="21"/>
      <c r="O162" s="21"/>
      <c r="P162" s="21"/>
      <c r="Q162" s="21"/>
      <c r="R162" s="21"/>
      <c r="S162" s="21"/>
      <c r="T162" s="21"/>
      <c r="U162" s="21"/>
      <c r="V162" s="21"/>
      <c r="W162" s="21"/>
      <c r="X162" s="48"/>
      <c r="Y162" s="21"/>
      <c r="Z162" s="21"/>
      <c r="AA162" s="21"/>
      <c r="AB162" s="21"/>
      <c r="AC162" s="21"/>
      <c r="AD162" s="21"/>
      <c r="AE162" s="21"/>
      <c r="AF162" s="21"/>
      <c r="AG162" s="21"/>
      <c r="AH162" s="100"/>
      <c r="AI162" s="100"/>
      <c r="AJ162" s="111"/>
      <c r="AK162" s="21"/>
      <c r="AL162" s="1"/>
      <c r="AM162" s="2"/>
      <c r="AN162" s="21"/>
      <c r="AO162" s="21"/>
      <c r="AP162" s="21"/>
      <c r="AQ162" s="21"/>
    </row>
    <row r="163" spans="1:43" ht="15.75" customHeight="1">
      <c r="A163" s="14"/>
      <c r="B163" s="47"/>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100"/>
      <c r="AI163" s="100"/>
      <c r="AJ163" s="111"/>
      <c r="AK163" s="21"/>
      <c r="AL163" s="1"/>
      <c r="AM163" s="2"/>
      <c r="AN163" s="21"/>
      <c r="AO163" s="21"/>
      <c r="AP163" s="21"/>
      <c r="AQ163" s="21"/>
    </row>
    <row r="164" spans="1:43" ht="15.75" customHeight="1">
      <c r="A164" s="14"/>
      <c r="B164" s="47"/>
      <c r="C164" s="21"/>
      <c r="D164" s="21"/>
      <c r="E164" s="21"/>
      <c r="F164" s="50" t="s">
        <v>105</v>
      </c>
      <c r="G164" s="21"/>
      <c r="H164" s="21"/>
      <c r="I164" s="21" t="s">
        <v>106</v>
      </c>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100"/>
      <c r="AI164" s="100"/>
      <c r="AJ164" s="111"/>
      <c r="AK164" s="21"/>
      <c r="AL164" s="1"/>
      <c r="AM164" s="2"/>
      <c r="AN164" s="21"/>
      <c r="AO164" s="21"/>
      <c r="AP164" s="21"/>
      <c r="AQ164" s="21"/>
    </row>
    <row r="165" spans="1:43" ht="15.75" customHeight="1">
      <c r="A165" s="14"/>
      <c r="B165" s="47"/>
      <c r="C165" s="21"/>
      <c r="D165" s="21"/>
      <c r="E165" s="21"/>
      <c r="F165" s="21"/>
      <c r="G165" s="21"/>
      <c r="H165" s="21"/>
      <c r="I165" s="21" t="s">
        <v>107</v>
      </c>
      <c r="J165" s="21" t="s">
        <v>108</v>
      </c>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100"/>
      <c r="AI165" s="100"/>
      <c r="AJ165" s="111"/>
      <c r="AK165" s="21"/>
      <c r="AL165" s="1"/>
      <c r="AM165" s="2"/>
      <c r="AN165" s="21"/>
      <c r="AO165" s="21"/>
      <c r="AP165" s="21"/>
      <c r="AQ165" s="21"/>
    </row>
    <row r="166" spans="1:43" ht="15.75" customHeight="1">
      <c r="A166" s="14"/>
      <c r="B166" s="47"/>
      <c r="C166" s="21"/>
      <c r="D166" s="21"/>
      <c r="E166" s="21"/>
      <c r="F166" s="21"/>
      <c r="G166" s="21"/>
      <c r="H166" s="51"/>
      <c r="I166" s="138" t="s">
        <v>109</v>
      </c>
      <c r="J166" s="123"/>
      <c r="K166" s="123"/>
      <c r="L166" s="123"/>
      <c r="M166" s="123"/>
      <c r="N166" s="123"/>
      <c r="O166" s="123"/>
      <c r="P166" s="123"/>
      <c r="Q166" s="123"/>
      <c r="R166" s="123"/>
      <c r="S166" s="123"/>
      <c r="T166" s="123"/>
      <c r="U166" s="123"/>
      <c r="V166" s="123"/>
      <c r="W166" s="123"/>
      <c r="X166" s="123"/>
      <c r="Y166" s="123"/>
      <c r="Z166" s="123"/>
      <c r="AA166" s="123"/>
      <c r="AB166" s="123"/>
      <c r="AC166" s="123"/>
      <c r="AD166" s="123"/>
      <c r="AE166" s="123"/>
      <c r="AF166" s="123"/>
      <c r="AG166" s="123"/>
      <c r="AH166" s="123"/>
      <c r="AI166" s="123"/>
      <c r="AJ166" s="123"/>
      <c r="AK166" s="121"/>
      <c r="AL166" s="1"/>
      <c r="AM166" s="2"/>
      <c r="AN166" s="21"/>
      <c r="AO166" s="21"/>
      <c r="AP166" s="21"/>
      <c r="AQ166" s="21"/>
    </row>
    <row r="167" spans="1:43" ht="15.75" customHeight="1">
      <c r="A167" s="14"/>
      <c r="B167" s="47"/>
      <c r="C167" s="21"/>
      <c r="D167" s="21"/>
      <c r="E167" s="21"/>
      <c r="F167" s="21"/>
      <c r="G167" s="21"/>
      <c r="H167" s="21"/>
      <c r="I167" s="21" t="s">
        <v>110</v>
      </c>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100"/>
      <c r="AI167" s="100"/>
      <c r="AJ167" s="111"/>
      <c r="AK167" s="21"/>
      <c r="AL167" s="1"/>
      <c r="AM167" s="2"/>
      <c r="AN167" s="21"/>
      <c r="AO167" s="21"/>
      <c r="AP167" s="21"/>
      <c r="AQ167" s="21"/>
    </row>
    <row r="168" spans="1:43" ht="15.75" customHeight="1">
      <c r="A168" s="14"/>
      <c r="B168" s="47"/>
      <c r="C168" s="21"/>
      <c r="D168" s="21"/>
      <c r="E168" s="21"/>
      <c r="F168" s="21"/>
      <c r="G168" s="21"/>
      <c r="H168" s="21"/>
      <c r="I168" s="122"/>
      <c r="J168" s="123"/>
      <c r="K168" s="123"/>
      <c r="L168" s="123"/>
      <c r="M168" s="123"/>
      <c r="N168" s="123"/>
      <c r="O168" s="123"/>
      <c r="P168" s="123"/>
      <c r="Q168" s="123"/>
      <c r="R168" s="123"/>
      <c r="S168" s="123"/>
      <c r="T168" s="123"/>
      <c r="U168" s="123"/>
      <c r="V168" s="123"/>
      <c r="W168" s="123"/>
      <c r="X168" s="123"/>
      <c r="Y168" s="123"/>
      <c r="Z168" s="121"/>
      <c r="AA168" s="21"/>
      <c r="AB168" s="21"/>
      <c r="AC168" s="21"/>
      <c r="AD168" s="21"/>
      <c r="AE168" s="21"/>
      <c r="AF168" s="21"/>
      <c r="AG168" s="21"/>
      <c r="AH168" s="100"/>
      <c r="AI168" s="100"/>
      <c r="AJ168" s="111"/>
      <c r="AK168" s="21"/>
      <c r="AL168" s="1"/>
      <c r="AM168" s="2"/>
      <c r="AN168" s="21"/>
      <c r="AO168" s="21"/>
      <c r="AP168" s="21"/>
      <c r="AQ168" s="21"/>
    </row>
    <row r="169" spans="1:43" ht="15.75" customHeight="1">
      <c r="A169" s="14"/>
      <c r="B169" s="47"/>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100"/>
      <c r="AI169" s="100"/>
      <c r="AJ169" s="111"/>
      <c r="AK169" s="21"/>
      <c r="AL169" s="1"/>
      <c r="AM169" s="2"/>
      <c r="AN169" s="21"/>
      <c r="AO169" s="21"/>
      <c r="AP169" s="21"/>
      <c r="AQ169" s="21"/>
    </row>
    <row r="170" spans="1:43" ht="15.75" customHeight="1">
      <c r="A170" s="14"/>
      <c r="B170" s="47"/>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100"/>
      <c r="AI170" s="100"/>
      <c r="AJ170" s="111"/>
      <c r="AK170" s="21"/>
      <c r="AL170" s="1"/>
      <c r="AM170" s="2"/>
      <c r="AN170" s="21"/>
      <c r="AO170" s="21"/>
      <c r="AP170" s="21"/>
      <c r="AQ170" s="21"/>
    </row>
    <row r="171" spans="1:43" ht="15.75" customHeight="1">
      <c r="A171" s="14"/>
      <c r="B171" s="47"/>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100"/>
      <c r="AI171" s="100"/>
      <c r="AJ171" s="111"/>
      <c r="AK171" s="21"/>
      <c r="AL171" s="1"/>
      <c r="AM171" s="2"/>
      <c r="AN171" s="21"/>
      <c r="AO171" s="21"/>
      <c r="AP171" s="21"/>
      <c r="AQ171" s="21"/>
    </row>
    <row r="172" spans="1:43" ht="15.75" customHeight="1">
      <c r="A172" s="14"/>
      <c r="B172" s="47"/>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100"/>
      <c r="AI172" s="100"/>
      <c r="AJ172" s="111"/>
      <c r="AK172" s="21"/>
      <c r="AL172" s="1"/>
      <c r="AM172" s="2"/>
      <c r="AN172" s="21"/>
      <c r="AO172" s="21"/>
      <c r="AP172" s="21"/>
      <c r="AQ172" s="21"/>
    </row>
    <row r="173" spans="1:43" ht="15.75" customHeight="1">
      <c r="A173" s="14"/>
      <c r="B173" s="47"/>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100"/>
      <c r="AI173" s="100"/>
      <c r="AJ173" s="111"/>
      <c r="AK173" s="21"/>
      <c r="AL173" s="1"/>
      <c r="AM173" s="2"/>
      <c r="AN173" s="21"/>
      <c r="AO173" s="21"/>
      <c r="AP173" s="21"/>
      <c r="AQ173" s="21"/>
    </row>
    <row r="174" spans="1:43" ht="15.75" customHeight="1">
      <c r="A174" s="14"/>
      <c r="B174" s="47"/>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100"/>
      <c r="AI174" s="100"/>
      <c r="AJ174" s="111"/>
      <c r="AK174" s="21"/>
      <c r="AL174" s="1"/>
      <c r="AM174" s="2"/>
      <c r="AN174" s="21"/>
      <c r="AO174" s="21"/>
      <c r="AP174" s="21"/>
      <c r="AQ174" s="21"/>
    </row>
    <row r="175" spans="1:43" ht="15.75" customHeight="1">
      <c r="A175" s="14"/>
      <c r="B175" s="47"/>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100"/>
      <c r="AI175" s="100"/>
      <c r="AJ175" s="111"/>
      <c r="AK175" s="21"/>
      <c r="AL175" s="1"/>
      <c r="AM175" s="2"/>
      <c r="AN175" s="21"/>
      <c r="AO175" s="21"/>
      <c r="AP175" s="21"/>
      <c r="AQ175" s="21"/>
    </row>
    <row r="176" spans="1:43" ht="15.75" customHeight="1">
      <c r="A176" s="14"/>
      <c r="B176" s="47"/>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100"/>
      <c r="AI176" s="100"/>
      <c r="AJ176" s="111"/>
      <c r="AK176" s="21"/>
      <c r="AL176" s="1"/>
      <c r="AM176" s="2"/>
      <c r="AN176" s="21"/>
      <c r="AO176" s="21"/>
      <c r="AP176" s="21"/>
      <c r="AQ176" s="21"/>
    </row>
    <row r="177" spans="1:43" ht="15.75" customHeight="1">
      <c r="A177" s="14"/>
      <c r="B177" s="47"/>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100"/>
      <c r="AI177" s="100"/>
      <c r="AJ177" s="111"/>
      <c r="AK177" s="21"/>
      <c r="AL177" s="1"/>
      <c r="AM177" s="2"/>
      <c r="AN177" s="21"/>
      <c r="AO177" s="21"/>
      <c r="AP177" s="21"/>
      <c r="AQ177" s="21"/>
    </row>
    <row r="178" spans="1:43" ht="15.75" customHeight="1">
      <c r="A178" s="14"/>
      <c r="B178" s="47"/>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100"/>
      <c r="AI178" s="100"/>
      <c r="AJ178" s="111"/>
      <c r="AK178" s="21"/>
      <c r="AL178" s="1"/>
      <c r="AM178" s="2"/>
      <c r="AN178" s="21"/>
      <c r="AO178" s="21"/>
      <c r="AP178" s="21"/>
      <c r="AQ178" s="21"/>
    </row>
    <row r="179" spans="1:43" ht="15.75" customHeight="1">
      <c r="A179" s="14"/>
      <c r="B179" s="47"/>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100"/>
      <c r="AI179" s="100"/>
      <c r="AJ179" s="111"/>
      <c r="AK179" s="21"/>
      <c r="AL179" s="1"/>
      <c r="AM179" s="2"/>
      <c r="AN179" s="21"/>
      <c r="AO179" s="21"/>
      <c r="AP179" s="21"/>
      <c r="AQ179" s="21"/>
    </row>
    <row r="180" spans="1:43" ht="15.75" customHeight="1">
      <c r="A180" s="14"/>
      <c r="B180" s="47"/>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100"/>
      <c r="AI180" s="100"/>
      <c r="AJ180" s="111"/>
      <c r="AK180" s="21"/>
      <c r="AL180" s="1"/>
      <c r="AM180" s="2"/>
      <c r="AN180" s="21"/>
      <c r="AO180" s="21"/>
      <c r="AP180" s="21"/>
      <c r="AQ180" s="21"/>
    </row>
    <row r="181" spans="1:43" ht="15.75" customHeight="1">
      <c r="A181" s="14"/>
      <c r="B181" s="47"/>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100"/>
      <c r="AI181" s="100"/>
      <c r="AJ181" s="111"/>
      <c r="AK181" s="21"/>
      <c r="AL181" s="1"/>
      <c r="AM181" s="2"/>
      <c r="AN181" s="21"/>
      <c r="AO181" s="21"/>
      <c r="AP181" s="21"/>
      <c r="AQ181" s="21"/>
    </row>
    <row r="182" spans="1:43" ht="15.75" customHeight="1">
      <c r="A182" s="14"/>
      <c r="B182" s="47"/>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100"/>
      <c r="AI182" s="100"/>
      <c r="AJ182" s="111"/>
      <c r="AK182" s="21"/>
      <c r="AL182" s="1"/>
      <c r="AM182" s="2"/>
      <c r="AN182" s="21"/>
      <c r="AO182" s="21"/>
      <c r="AP182" s="21"/>
      <c r="AQ182" s="21"/>
    </row>
    <row r="183" spans="1:43" ht="15.75" customHeight="1">
      <c r="A183" s="14"/>
      <c r="B183" s="47"/>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100"/>
      <c r="AI183" s="100"/>
      <c r="AJ183" s="111"/>
      <c r="AK183" s="21"/>
      <c r="AL183" s="1"/>
      <c r="AM183" s="2"/>
      <c r="AN183" s="21"/>
      <c r="AO183" s="21"/>
      <c r="AP183" s="21"/>
      <c r="AQ183" s="21"/>
    </row>
    <row r="184" spans="1:43" ht="15.75" customHeight="1">
      <c r="A184" s="14"/>
      <c r="B184" s="47"/>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100"/>
      <c r="AI184" s="100"/>
      <c r="AJ184" s="111"/>
      <c r="AK184" s="21"/>
      <c r="AL184" s="1"/>
      <c r="AM184" s="2"/>
      <c r="AN184" s="21"/>
      <c r="AO184" s="21"/>
      <c r="AP184" s="21"/>
      <c r="AQ184" s="21"/>
    </row>
    <row r="185" spans="1:43" ht="15.75" customHeight="1">
      <c r="A185" s="14"/>
      <c r="B185" s="47"/>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100"/>
      <c r="AI185" s="100"/>
      <c r="AJ185" s="111"/>
      <c r="AK185" s="21"/>
      <c r="AL185" s="1"/>
      <c r="AM185" s="2"/>
      <c r="AN185" s="21"/>
      <c r="AO185" s="21"/>
      <c r="AP185" s="21"/>
      <c r="AQ185" s="21"/>
    </row>
    <row r="186" spans="1:43" ht="15.75" customHeight="1">
      <c r="A186" s="14"/>
      <c r="B186" s="47"/>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100"/>
      <c r="AI186" s="100"/>
      <c r="AJ186" s="111"/>
      <c r="AK186" s="21"/>
      <c r="AL186" s="1"/>
      <c r="AM186" s="2"/>
      <c r="AN186" s="21"/>
      <c r="AO186" s="21"/>
      <c r="AP186" s="21"/>
      <c r="AQ186" s="21"/>
    </row>
    <row r="187" spans="1:43" ht="15.75" customHeight="1">
      <c r="A187" s="14"/>
      <c r="B187" s="47"/>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100"/>
      <c r="AI187" s="100"/>
      <c r="AJ187" s="111"/>
      <c r="AK187" s="21"/>
      <c r="AL187" s="1"/>
      <c r="AM187" s="2"/>
      <c r="AN187" s="21"/>
      <c r="AO187" s="21"/>
      <c r="AP187" s="21"/>
      <c r="AQ187" s="21"/>
    </row>
    <row r="188" spans="1:43" ht="15.75" customHeight="1">
      <c r="A188" s="14"/>
      <c r="B188" s="47"/>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100"/>
      <c r="AI188" s="100"/>
      <c r="AJ188" s="111"/>
      <c r="AK188" s="21"/>
      <c r="AL188" s="1"/>
      <c r="AM188" s="2"/>
      <c r="AN188" s="21"/>
      <c r="AO188" s="21"/>
      <c r="AP188" s="21"/>
      <c r="AQ188" s="21"/>
    </row>
    <row r="189" spans="1:43" ht="15.75" customHeight="1">
      <c r="A189" s="14"/>
      <c r="B189" s="47"/>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100"/>
      <c r="AI189" s="100"/>
      <c r="AJ189" s="111"/>
      <c r="AK189" s="21"/>
      <c r="AL189" s="1"/>
      <c r="AM189" s="2"/>
      <c r="AN189" s="21"/>
      <c r="AO189" s="21"/>
      <c r="AP189" s="21"/>
      <c r="AQ189" s="21"/>
    </row>
    <row r="190" spans="1:43" ht="15.75" customHeight="1">
      <c r="A190" s="14"/>
      <c r="B190" s="47"/>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100"/>
      <c r="AI190" s="100"/>
      <c r="AJ190" s="111"/>
      <c r="AK190" s="21"/>
      <c r="AL190" s="1"/>
      <c r="AM190" s="2"/>
      <c r="AN190" s="21"/>
      <c r="AO190" s="21"/>
      <c r="AP190" s="21"/>
      <c r="AQ190" s="21"/>
    </row>
    <row r="191" spans="1:43" ht="15.75" customHeight="1">
      <c r="A191" s="14"/>
      <c r="B191" s="47"/>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100"/>
      <c r="AI191" s="100"/>
      <c r="AJ191" s="111"/>
      <c r="AK191" s="21"/>
      <c r="AL191" s="1"/>
      <c r="AM191" s="2"/>
      <c r="AN191" s="21"/>
      <c r="AO191" s="21"/>
      <c r="AP191" s="21"/>
      <c r="AQ191" s="21"/>
    </row>
    <row r="192" spans="1:43" ht="15.75" customHeight="1">
      <c r="A192" s="14"/>
      <c r="B192" s="47"/>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100"/>
      <c r="AI192" s="100"/>
      <c r="AJ192" s="111"/>
      <c r="AK192" s="21"/>
      <c r="AL192" s="1"/>
      <c r="AM192" s="2"/>
      <c r="AN192" s="21"/>
      <c r="AO192" s="21"/>
      <c r="AP192" s="21"/>
      <c r="AQ192" s="21"/>
    </row>
    <row r="193" spans="1:43" ht="15.75" customHeight="1">
      <c r="A193" s="14"/>
      <c r="B193" s="47"/>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100"/>
      <c r="AI193" s="100"/>
      <c r="AJ193" s="111"/>
      <c r="AK193" s="21"/>
      <c r="AL193" s="1"/>
      <c r="AM193" s="2"/>
      <c r="AN193" s="21"/>
      <c r="AO193" s="21"/>
      <c r="AP193" s="21"/>
      <c r="AQ193" s="21"/>
    </row>
    <row r="194" spans="1:43" ht="15.75" customHeight="1">
      <c r="A194" s="14"/>
      <c r="B194" s="47"/>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100"/>
      <c r="AI194" s="100"/>
      <c r="AJ194" s="111"/>
      <c r="AK194" s="21"/>
      <c r="AL194" s="1"/>
      <c r="AM194" s="2"/>
      <c r="AN194" s="21"/>
      <c r="AO194" s="21"/>
      <c r="AP194" s="21"/>
      <c r="AQ194" s="21"/>
    </row>
    <row r="195" spans="1:43" ht="15.75" customHeight="1">
      <c r="A195" s="14"/>
      <c r="B195" s="47"/>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100"/>
      <c r="AI195" s="100"/>
      <c r="AJ195" s="111"/>
      <c r="AK195" s="21"/>
      <c r="AL195" s="1"/>
      <c r="AM195" s="2"/>
      <c r="AN195" s="21"/>
      <c r="AO195" s="21"/>
      <c r="AP195" s="21"/>
      <c r="AQ195" s="21"/>
    </row>
    <row r="196" spans="1:43" ht="15.75" customHeight="1">
      <c r="A196" s="14"/>
      <c r="B196" s="47"/>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100"/>
      <c r="AI196" s="100"/>
      <c r="AJ196" s="111"/>
      <c r="AK196" s="21"/>
      <c r="AL196" s="1"/>
      <c r="AM196" s="2"/>
      <c r="AN196" s="21"/>
      <c r="AO196" s="21"/>
      <c r="AP196" s="21"/>
      <c r="AQ196" s="21"/>
    </row>
    <row r="197" spans="1:43" ht="15.75" customHeight="1">
      <c r="A197" s="14"/>
      <c r="B197" s="47"/>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100"/>
      <c r="AI197" s="100"/>
      <c r="AJ197" s="111"/>
      <c r="AK197" s="21"/>
      <c r="AL197" s="1"/>
      <c r="AM197" s="2"/>
      <c r="AN197" s="21"/>
      <c r="AO197" s="21"/>
      <c r="AP197" s="21"/>
      <c r="AQ197" s="21"/>
    </row>
    <row r="198" spans="1:43" ht="15.75" customHeight="1">
      <c r="A198" s="14"/>
      <c r="B198" s="47"/>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100"/>
      <c r="AI198" s="100"/>
      <c r="AJ198" s="111"/>
      <c r="AK198" s="21"/>
      <c r="AL198" s="1"/>
      <c r="AM198" s="2"/>
      <c r="AN198" s="21"/>
      <c r="AO198" s="21"/>
      <c r="AP198" s="21"/>
      <c r="AQ198" s="21"/>
    </row>
    <row r="199" spans="1:43" ht="15.75" customHeight="1">
      <c r="A199" s="14"/>
      <c r="B199" s="47"/>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100"/>
      <c r="AI199" s="100"/>
      <c r="AJ199" s="111"/>
      <c r="AK199" s="21"/>
      <c r="AL199" s="1"/>
      <c r="AM199" s="2"/>
      <c r="AN199" s="21"/>
      <c r="AO199" s="21"/>
      <c r="AP199" s="21"/>
      <c r="AQ199" s="21"/>
    </row>
    <row r="200" spans="1:43" ht="15.75" customHeight="1">
      <c r="A200" s="14"/>
      <c r="B200" s="47"/>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100"/>
      <c r="AI200" s="100"/>
      <c r="AJ200" s="111"/>
      <c r="AK200" s="21"/>
      <c r="AL200" s="1"/>
      <c r="AM200" s="2"/>
      <c r="AN200" s="21"/>
      <c r="AO200" s="21"/>
      <c r="AP200" s="21"/>
      <c r="AQ200" s="21"/>
    </row>
    <row r="201" spans="1:43" ht="15.75" customHeight="1">
      <c r="A201" s="14"/>
      <c r="B201" s="47"/>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100"/>
      <c r="AI201" s="100"/>
      <c r="AJ201" s="111"/>
      <c r="AK201" s="21"/>
      <c r="AL201" s="1"/>
      <c r="AM201" s="2"/>
      <c r="AN201" s="21"/>
      <c r="AO201" s="21"/>
      <c r="AP201" s="21"/>
      <c r="AQ201" s="21"/>
    </row>
    <row r="202" spans="1:43" ht="15.75" customHeight="1">
      <c r="A202" s="14"/>
      <c r="B202" s="47"/>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100"/>
      <c r="AI202" s="100"/>
      <c r="AJ202" s="111"/>
      <c r="AK202" s="21"/>
      <c r="AL202" s="1"/>
      <c r="AM202" s="2"/>
      <c r="AN202" s="21"/>
      <c r="AO202" s="21"/>
      <c r="AP202" s="21"/>
      <c r="AQ202" s="21"/>
    </row>
    <row r="203" spans="1:43" ht="15.75" customHeight="1">
      <c r="A203" s="14"/>
      <c r="B203" s="47"/>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100"/>
      <c r="AI203" s="100"/>
      <c r="AJ203" s="111"/>
      <c r="AK203" s="21"/>
      <c r="AL203" s="1"/>
      <c r="AM203" s="2"/>
      <c r="AN203" s="21"/>
      <c r="AO203" s="21"/>
      <c r="AP203" s="21"/>
      <c r="AQ203" s="21"/>
    </row>
    <row r="204" spans="1:43" ht="15.75" customHeight="1">
      <c r="A204" s="14"/>
      <c r="B204" s="47"/>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100"/>
      <c r="AI204" s="100"/>
      <c r="AJ204" s="111"/>
      <c r="AK204" s="21"/>
      <c r="AL204" s="1"/>
      <c r="AM204" s="2"/>
      <c r="AN204" s="21"/>
      <c r="AO204" s="21"/>
      <c r="AP204" s="21"/>
      <c r="AQ204" s="21"/>
    </row>
    <row r="205" spans="1:43" ht="15.75" customHeight="1">
      <c r="A205" s="14"/>
      <c r="B205" s="47"/>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100"/>
      <c r="AI205" s="100"/>
      <c r="AJ205" s="111"/>
      <c r="AK205" s="21"/>
      <c r="AL205" s="1"/>
      <c r="AM205" s="2"/>
      <c r="AN205" s="21"/>
      <c r="AO205" s="21"/>
      <c r="AP205" s="21"/>
      <c r="AQ205" s="21"/>
    </row>
    <row r="206" spans="1:43" ht="15.75" customHeight="1">
      <c r="A206" s="14"/>
      <c r="B206" s="47"/>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100"/>
      <c r="AI206" s="100"/>
      <c r="AJ206" s="111"/>
      <c r="AK206" s="21"/>
      <c r="AL206" s="1"/>
      <c r="AM206" s="2"/>
      <c r="AN206" s="21"/>
      <c r="AO206" s="21"/>
      <c r="AP206" s="21"/>
      <c r="AQ206" s="21"/>
    </row>
    <row r="207" spans="1:43" ht="15.75" customHeight="1">
      <c r="A207" s="14"/>
      <c r="B207" s="47"/>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100"/>
      <c r="AI207" s="100"/>
      <c r="AJ207" s="111"/>
      <c r="AK207" s="21"/>
      <c r="AL207" s="1"/>
      <c r="AM207" s="2"/>
      <c r="AN207" s="21"/>
      <c r="AO207" s="21"/>
      <c r="AP207" s="21"/>
      <c r="AQ207" s="21"/>
    </row>
    <row r="208" spans="1:43" ht="15.75" customHeight="1">
      <c r="A208" s="14"/>
      <c r="B208" s="47"/>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100"/>
      <c r="AI208" s="100"/>
      <c r="AJ208" s="111"/>
      <c r="AK208" s="21"/>
      <c r="AL208" s="1"/>
      <c r="AM208" s="2"/>
      <c r="AN208" s="21"/>
      <c r="AO208" s="21"/>
      <c r="AP208" s="21"/>
      <c r="AQ208" s="21"/>
    </row>
    <row r="209" spans="1:43" ht="15.75" customHeight="1">
      <c r="A209" s="14"/>
      <c r="B209" s="47"/>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100"/>
      <c r="AI209" s="100"/>
      <c r="AJ209" s="111"/>
      <c r="AK209" s="21"/>
      <c r="AL209" s="1"/>
      <c r="AM209" s="2"/>
      <c r="AN209" s="21"/>
      <c r="AO209" s="21"/>
      <c r="AP209" s="21"/>
      <c r="AQ209" s="21"/>
    </row>
    <row r="210" spans="1:43" ht="15.75" customHeight="1">
      <c r="A210" s="14"/>
      <c r="B210" s="47"/>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100"/>
      <c r="AI210" s="100"/>
      <c r="AJ210" s="111"/>
      <c r="AK210" s="21"/>
      <c r="AL210" s="1"/>
      <c r="AM210" s="2"/>
      <c r="AN210" s="21"/>
      <c r="AO210" s="21"/>
      <c r="AP210" s="21"/>
      <c r="AQ210" s="21"/>
    </row>
    <row r="211" spans="1:43" ht="15.75" customHeight="1">
      <c r="A211" s="14"/>
      <c r="B211" s="47"/>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100"/>
      <c r="AI211" s="100"/>
      <c r="AJ211" s="111"/>
      <c r="AK211" s="21"/>
      <c r="AL211" s="1"/>
      <c r="AM211" s="2"/>
      <c r="AN211" s="21"/>
      <c r="AO211" s="21"/>
      <c r="AP211" s="21"/>
      <c r="AQ211" s="21"/>
    </row>
    <row r="212" spans="1:43" ht="15.75" customHeight="1">
      <c r="A212" s="14"/>
      <c r="B212" s="47"/>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100"/>
      <c r="AI212" s="100"/>
      <c r="AJ212" s="111"/>
      <c r="AK212" s="21"/>
      <c r="AL212" s="1"/>
      <c r="AM212" s="2"/>
      <c r="AN212" s="21"/>
      <c r="AO212" s="21"/>
      <c r="AP212" s="21"/>
      <c r="AQ212" s="21"/>
    </row>
    <row r="213" spans="1:43" ht="15.75" customHeight="1">
      <c r="A213" s="14"/>
      <c r="B213" s="47"/>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100"/>
      <c r="AI213" s="100"/>
      <c r="AJ213" s="111"/>
      <c r="AK213" s="21"/>
      <c r="AL213" s="1"/>
      <c r="AM213" s="2"/>
      <c r="AN213" s="21"/>
      <c r="AO213" s="21"/>
      <c r="AP213" s="21"/>
      <c r="AQ213" s="21"/>
    </row>
    <row r="214" spans="1:43" ht="15.75" customHeight="1">
      <c r="A214" s="14"/>
      <c r="B214" s="47"/>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100"/>
      <c r="AI214" s="100"/>
      <c r="AJ214" s="111"/>
      <c r="AK214" s="21"/>
      <c r="AL214" s="1"/>
      <c r="AM214" s="2"/>
      <c r="AN214" s="21"/>
      <c r="AO214" s="21"/>
      <c r="AP214" s="21"/>
      <c r="AQ214" s="21"/>
    </row>
    <row r="215" spans="1:43" ht="15.75" customHeight="1">
      <c r="A215" s="14"/>
      <c r="B215" s="47"/>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100"/>
      <c r="AI215" s="100"/>
      <c r="AJ215" s="111"/>
      <c r="AK215" s="21"/>
      <c r="AL215" s="1"/>
      <c r="AM215" s="2"/>
      <c r="AN215" s="21"/>
      <c r="AO215" s="21"/>
      <c r="AP215" s="21"/>
      <c r="AQ215" s="21"/>
    </row>
    <row r="216" spans="1:43" ht="15.75" customHeight="1">
      <c r="A216" s="14"/>
      <c r="B216" s="47"/>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100"/>
      <c r="AI216" s="100"/>
      <c r="AJ216" s="111"/>
      <c r="AK216" s="21"/>
      <c r="AL216" s="1"/>
      <c r="AM216" s="2"/>
      <c r="AN216" s="21"/>
      <c r="AO216" s="21"/>
      <c r="AP216" s="21"/>
      <c r="AQ216" s="21"/>
    </row>
    <row r="217" spans="1:43" ht="15.75" customHeight="1">
      <c r="A217" s="14"/>
      <c r="B217" s="47"/>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100"/>
      <c r="AI217" s="100"/>
      <c r="AJ217" s="111"/>
      <c r="AK217" s="21"/>
      <c r="AL217" s="1"/>
      <c r="AM217" s="2"/>
      <c r="AN217" s="21"/>
      <c r="AO217" s="21"/>
      <c r="AP217" s="21"/>
      <c r="AQ217" s="21"/>
    </row>
    <row r="218" spans="1:43" ht="15.75" customHeight="1">
      <c r="A218" s="14"/>
      <c r="B218" s="47"/>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100"/>
      <c r="AI218" s="100"/>
      <c r="AJ218" s="111"/>
      <c r="AK218" s="21"/>
      <c r="AL218" s="1"/>
      <c r="AM218" s="2"/>
      <c r="AN218" s="21"/>
      <c r="AO218" s="21"/>
      <c r="AP218" s="21"/>
      <c r="AQ218" s="21"/>
    </row>
    <row r="219" spans="1:43" ht="15.75" customHeight="1">
      <c r="A219" s="14"/>
      <c r="B219" s="47"/>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100"/>
      <c r="AI219" s="100"/>
      <c r="AJ219" s="111"/>
      <c r="AK219" s="21"/>
      <c r="AL219" s="1"/>
      <c r="AM219" s="2"/>
      <c r="AN219" s="21"/>
      <c r="AO219" s="21"/>
      <c r="AP219" s="21"/>
      <c r="AQ219" s="21"/>
    </row>
    <row r="220" spans="1:43" ht="15.75" customHeight="1">
      <c r="A220" s="14"/>
      <c r="B220" s="47"/>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100"/>
      <c r="AI220" s="100"/>
      <c r="AJ220" s="111"/>
      <c r="AK220" s="21"/>
      <c r="AL220" s="1"/>
      <c r="AM220" s="2"/>
      <c r="AN220" s="21"/>
      <c r="AO220" s="21"/>
      <c r="AP220" s="21"/>
      <c r="AQ220" s="21"/>
    </row>
    <row r="221" spans="1:43" ht="15.75" customHeight="1">
      <c r="A221" s="14"/>
      <c r="B221" s="47"/>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100"/>
      <c r="AI221" s="100"/>
      <c r="AJ221" s="111"/>
      <c r="AK221" s="21"/>
      <c r="AL221" s="1"/>
      <c r="AM221" s="2"/>
      <c r="AN221" s="21"/>
      <c r="AO221" s="21"/>
      <c r="AP221" s="21"/>
      <c r="AQ221" s="21"/>
    </row>
    <row r="222" spans="1:43" ht="15.75" customHeight="1">
      <c r="A222" s="52"/>
      <c r="B222" s="5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101"/>
      <c r="AI222" s="101"/>
      <c r="AJ222" s="112"/>
      <c r="AK222" s="3"/>
      <c r="AL222" s="1"/>
      <c r="AM222" s="2"/>
      <c r="AN222" s="3"/>
      <c r="AO222" s="3"/>
      <c r="AP222" s="3"/>
      <c r="AQ222" s="3"/>
    </row>
    <row r="223" spans="1:43" ht="15.75" customHeight="1">
      <c r="A223" s="52"/>
      <c r="B223" s="5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101"/>
      <c r="AI223" s="101"/>
      <c r="AJ223" s="112"/>
      <c r="AK223" s="3"/>
      <c r="AL223" s="1"/>
      <c r="AM223" s="2"/>
      <c r="AN223" s="3"/>
      <c r="AO223" s="3"/>
      <c r="AP223" s="3"/>
      <c r="AQ223" s="3"/>
    </row>
    <row r="224" spans="1:43" ht="15.75" customHeight="1">
      <c r="A224" s="52"/>
      <c r="B224" s="5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101"/>
      <c r="AI224" s="101"/>
      <c r="AJ224" s="112"/>
      <c r="AK224" s="3"/>
      <c r="AL224" s="1"/>
      <c r="AM224" s="2"/>
      <c r="AN224" s="3"/>
      <c r="AO224" s="3"/>
      <c r="AP224" s="3"/>
      <c r="AQ224" s="3"/>
    </row>
    <row r="225" spans="1:43" ht="15.75" customHeight="1">
      <c r="A225" s="52"/>
      <c r="B225" s="5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101"/>
      <c r="AI225" s="101"/>
      <c r="AJ225" s="112"/>
      <c r="AK225" s="3"/>
      <c r="AL225" s="1"/>
      <c r="AM225" s="2"/>
      <c r="AN225" s="3"/>
      <c r="AO225" s="3"/>
      <c r="AP225" s="3"/>
      <c r="AQ225" s="3"/>
    </row>
    <row r="226" spans="1:43" ht="15.75" customHeight="1">
      <c r="A226" s="52"/>
      <c r="B226" s="5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101"/>
      <c r="AI226" s="101"/>
      <c r="AJ226" s="112"/>
      <c r="AK226" s="3"/>
      <c r="AL226" s="1"/>
      <c r="AM226" s="2"/>
      <c r="AN226" s="3"/>
      <c r="AO226" s="3"/>
      <c r="AP226" s="3"/>
      <c r="AQ226" s="3"/>
    </row>
    <row r="227" spans="1:43" ht="15.75" customHeight="1">
      <c r="A227" s="52"/>
      <c r="B227" s="5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101"/>
      <c r="AI227" s="101"/>
      <c r="AJ227" s="112"/>
      <c r="AK227" s="3"/>
      <c r="AL227" s="1"/>
      <c r="AM227" s="2"/>
      <c r="AN227" s="3"/>
      <c r="AO227" s="3"/>
      <c r="AP227" s="3"/>
      <c r="AQ227" s="3"/>
    </row>
    <row r="228" spans="1:43" ht="15.75" customHeight="1">
      <c r="A228" s="52"/>
      <c r="B228" s="5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101"/>
      <c r="AI228" s="101"/>
      <c r="AJ228" s="112"/>
      <c r="AK228" s="3"/>
      <c r="AL228" s="1"/>
      <c r="AM228" s="2"/>
      <c r="AN228" s="3"/>
      <c r="AO228" s="3"/>
      <c r="AP228" s="3"/>
      <c r="AQ228" s="3"/>
    </row>
    <row r="229" spans="1:43" ht="15.75" customHeight="1">
      <c r="A229" s="52"/>
      <c r="B229" s="5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101"/>
      <c r="AI229" s="101"/>
      <c r="AJ229" s="112"/>
      <c r="AK229" s="3"/>
      <c r="AL229" s="1"/>
      <c r="AM229" s="2"/>
      <c r="AN229" s="3"/>
      <c r="AO229" s="3"/>
      <c r="AP229" s="3"/>
      <c r="AQ229" s="3"/>
    </row>
    <row r="230" spans="1:43" ht="15.75" customHeight="1">
      <c r="A230" s="52"/>
      <c r="B230" s="5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101"/>
      <c r="AI230" s="101"/>
      <c r="AJ230" s="112"/>
      <c r="AK230" s="3"/>
      <c r="AL230" s="1"/>
      <c r="AM230" s="2"/>
      <c r="AN230" s="3"/>
      <c r="AO230" s="3"/>
      <c r="AP230" s="3"/>
      <c r="AQ230" s="3"/>
    </row>
    <row r="231" spans="1:43" ht="15.75" customHeight="1">
      <c r="A231" s="52"/>
      <c r="B231" s="5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101"/>
      <c r="AI231" s="101"/>
      <c r="AJ231" s="112"/>
      <c r="AK231" s="3"/>
      <c r="AL231" s="1"/>
      <c r="AM231" s="2"/>
      <c r="AN231" s="3"/>
      <c r="AO231" s="3"/>
      <c r="AP231" s="3"/>
      <c r="AQ231" s="3"/>
    </row>
    <row r="232" spans="1:43" ht="15.75" customHeight="1">
      <c r="A232" s="52"/>
      <c r="B232" s="5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101"/>
      <c r="AI232" s="101"/>
      <c r="AJ232" s="112"/>
      <c r="AK232" s="3"/>
      <c r="AL232" s="1"/>
      <c r="AM232" s="2"/>
      <c r="AN232" s="3"/>
      <c r="AO232" s="3"/>
      <c r="AP232" s="3"/>
      <c r="AQ232" s="3"/>
    </row>
    <row r="233" spans="1:43" ht="15.75" customHeight="1">
      <c r="A233" s="52"/>
      <c r="B233" s="5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101"/>
      <c r="AI233" s="101"/>
      <c r="AJ233" s="112"/>
      <c r="AK233" s="3"/>
      <c r="AL233" s="1"/>
      <c r="AM233" s="2"/>
      <c r="AN233" s="3"/>
      <c r="AO233" s="3"/>
      <c r="AP233" s="3"/>
      <c r="AQ233" s="3"/>
    </row>
    <row r="234" spans="1:43" ht="15.75" customHeight="1">
      <c r="A234" s="52"/>
      <c r="B234" s="5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101"/>
      <c r="AI234" s="101"/>
      <c r="AJ234" s="112"/>
      <c r="AK234" s="3"/>
      <c r="AL234" s="1"/>
      <c r="AM234" s="2"/>
      <c r="AN234" s="3"/>
      <c r="AO234" s="3"/>
      <c r="AP234" s="3"/>
      <c r="AQ234" s="3"/>
    </row>
    <row r="235" spans="1:43" ht="15.75" customHeight="1">
      <c r="A235" s="52"/>
      <c r="B235" s="5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101"/>
      <c r="AI235" s="101"/>
      <c r="AJ235" s="112"/>
      <c r="AK235" s="3"/>
      <c r="AL235" s="1"/>
      <c r="AM235" s="2"/>
      <c r="AN235" s="3"/>
      <c r="AO235" s="3"/>
      <c r="AP235" s="3"/>
      <c r="AQ235" s="3"/>
    </row>
    <row r="236" spans="1:43" ht="15.75" customHeight="1">
      <c r="A236" s="52"/>
      <c r="B236" s="5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101"/>
      <c r="AI236" s="101"/>
      <c r="AJ236" s="112"/>
      <c r="AK236" s="3"/>
      <c r="AL236" s="1"/>
      <c r="AM236" s="2"/>
      <c r="AN236" s="3"/>
      <c r="AO236" s="3"/>
      <c r="AP236" s="3"/>
      <c r="AQ236" s="3"/>
    </row>
    <row r="237" spans="1:43" ht="15.75" customHeight="1">
      <c r="A237" s="52"/>
      <c r="B237" s="5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101"/>
      <c r="AI237" s="101"/>
      <c r="AJ237" s="112"/>
      <c r="AK237" s="3"/>
      <c r="AL237" s="1"/>
      <c r="AM237" s="2"/>
      <c r="AN237" s="3"/>
      <c r="AO237" s="3"/>
      <c r="AP237" s="3"/>
      <c r="AQ237" s="3"/>
    </row>
    <row r="238" spans="1:43" ht="15.75" customHeight="1">
      <c r="A238" s="52"/>
      <c r="B238" s="5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101"/>
      <c r="AI238" s="101"/>
      <c r="AJ238" s="112"/>
      <c r="AK238" s="3"/>
      <c r="AL238" s="1"/>
      <c r="AM238" s="2"/>
      <c r="AN238" s="3"/>
      <c r="AO238" s="3"/>
      <c r="AP238" s="3"/>
      <c r="AQ238" s="3"/>
    </row>
    <row r="239" spans="1:43" ht="15.75" customHeight="1">
      <c r="A239" s="52"/>
      <c r="B239" s="5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101"/>
      <c r="AI239" s="101"/>
      <c r="AJ239" s="112"/>
      <c r="AK239" s="3"/>
      <c r="AL239" s="1"/>
      <c r="AM239" s="2"/>
      <c r="AN239" s="3"/>
      <c r="AO239" s="3"/>
      <c r="AP239" s="3"/>
      <c r="AQ239" s="3"/>
    </row>
    <row r="240" spans="1:43" ht="15.75" customHeight="1">
      <c r="A240" s="52"/>
      <c r="B240" s="5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101"/>
      <c r="AI240" s="101"/>
      <c r="AJ240" s="112"/>
      <c r="AK240" s="3"/>
      <c r="AL240" s="1"/>
      <c r="AM240" s="2"/>
      <c r="AN240" s="3"/>
      <c r="AO240" s="3"/>
      <c r="AP240" s="3"/>
      <c r="AQ240" s="3"/>
    </row>
    <row r="241" spans="1:43" ht="15.75" customHeight="1">
      <c r="A241" s="52"/>
      <c r="B241" s="5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101"/>
      <c r="AI241" s="101"/>
      <c r="AJ241" s="112"/>
      <c r="AK241" s="3"/>
      <c r="AL241" s="1"/>
      <c r="AM241" s="2"/>
      <c r="AN241" s="3"/>
      <c r="AO241" s="3"/>
      <c r="AP241" s="3"/>
      <c r="AQ241" s="3"/>
    </row>
    <row r="242" spans="1:43" ht="15.75" customHeight="1">
      <c r="A242" s="52"/>
      <c r="B242" s="5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101"/>
      <c r="AI242" s="101"/>
      <c r="AJ242" s="112"/>
      <c r="AK242" s="3"/>
      <c r="AL242" s="1"/>
      <c r="AM242" s="2"/>
      <c r="AN242" s="3"/>
      <c r="AO242" s="3"/>
      <c r="AP242" s="3"/>
      <c r="AQ242" s="3"/>
    </row>
    <row r="243" spans="1:43" ht="15.75" customHeight="1">
      <c r="A243" s="52"/>
      <c r="B243" s="5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101"/>
      <c r="AI243" s="101"/>
      <c r="AJ243" s="112"/>
      <c r="AK243" s="3"/>
      <c r="AL243" s="1"/>
      <c r="AM243" s="2"/>
      <c r="AN243" s="3"/>
      <c r="AO243" s="3"/>
      <c r="AP243" s="3"/>
      <c r="AQ243" s="3"/>
    </row>
    <row r="244" spans="1:43" ht="15.75" customHeight="1">
      <c r="A244" s="52"/>
      <c r="B244" s="5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101"/>
      <c r="AI244" s="101"/>
      <c r="AJ244" s="112"/>
      <c r="AK244" s="3"/>
      <c r="AL244" s="1"/>
      <c r="AM244" s="2"/>
      <c r="AN244" s="3"/>
      <c r="AO244" s="3"/>
      <c r="AP244" s="3"/>
      <c r="AQ244" s="3"/>
    </row>
    <row r="245" spans="1:43" ht="15.75" customHeight="1">
      <c r="A245" s="52"/>
      <c r="B245" s="5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101"/>
      <c r="AI245" s="101"/>
      <c r="AJ245" s="112"/>
      <c r="AK245" s="3"/>
      <c r="AL245" s="1"/>
      <c r="AM245" s="2"/>
      <c r="AN245" s="3"/>
      <c r="AO245" s="3"/>
      <c r="AP245" s="3"/>
      <c r="AQ245" s="3"/>
    </row>
    <row r="246" spans="1:43" ht="15.75" customHeight="1">
      <c r="A246" s="52"/>
      <c r="B246" s="5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101"/>
      <c r="AI246" s="101"/>
      <c r="AJ246" s="112"/>
      <c r="AK246" s="3"/>
      <c r="AL246" s="1"/>
      <c r="AM246" s="2"/>
      <c r="AN246" s="3"/>
      <c r="AO246" s="3"/>
      <c r="AP246" s="3"/>
      <c r="AQ246" s="3"/>
    </row>
    <row r="247" spans="1:43" ht="15.75" customHeight="1">
      <c r="A247" s="52"/>
      <c r="B247" s="5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101"/>
      <c r="AI247" s="101"/>
      <c r="AJ247" s="112"/>
      <c r="AK247" s="3"/>
      <c r="AL247" s="1"/>
      <c r="AM247" s="2"/>
      <c r="AN247" s="3"/>
      <c r="AO247" s="3"/>
      <c r="AP247" s="3"/>
      <c r="AQ247" s="3"/>
    </row>
    <row r="248" spans="1:43" ht="15.75" customHeight="1">
      <c r="A248" s="52"/>
      <c r="B248" s="5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101"/>
      <c r="AI248" s="101"/>
      <c r="AJ248" s="112"/>
      <c r="AK248" s="3"/>
      <c r="AL248" s="1"/>
      <c r="AM248" s="2"/>
      <c r="AN248" s="3"/>
      <c r="AO248" s="3"/>
      <c r="AP248" s="3"/>
      <c r="AQ248" s="3"/>
    </row>
    <row r="249" spans="1:43" ht="15.75" customHeight="1">
      <c r="A249" s="52"/>
      <c r="B249" s="5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101"/>
      <c r="AI249" s="101"/>
      <c r="AJ249" s="112"/>
      <c r="AK249" s="3"/>
      <c r="AL249" s="1"/>
      <c r="AM249" s="2"/>
      <c r="AN249" s="3"/>
      <c r="AO249" s="3"/>
      <c r="AP249" s="3"/>
      <c r="AQ249" s="3"/>
    </row>
    <row r="250" spans="1:43" ht="15.75" customHeight="1">
      <c r="A250" s="52"/>
      <c r="B250" s="5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101"/>
      <c r="AI250" s="101"/>
      <c r="AJ250" s="112"/>
      <c r="AK250" s="3"/>
      <c r="AL250" s="1"/>
      <c r="AM250" s="2"/>
      <c r="AN250" s="3"/>
      <c r="AO250" s="3"/>
      <c r="AP250" s="3"/>
      <c r="AQ250" s="3"/>
    </row>
    <row r="251" spans="1:43" ht="15.75" customHeight="1">
      <c r="A251" s="52"/>
      <c r="B251" s="5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101"/>
      <c r="AI251" s="101"/>
      <c r="AJ251" s="112"/>
      <c r="AK251" s="3"/>
      <c r="AL251" s="1"/>
      <c r="AM251" s="2"/>
      <c r="AN251" s="3"/>
      <c r="AO251" s="3"/>
      <c r="AP251" s="3"/>
      <c r="AQ251" s="3"/>
    </row>
    <row r="252" spans="1:43" ht="15.75" customHeight="1">
      <c r="A252" s="52"/>
      <c r="B252" s="5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101"/>
      <c r="AI252" s="101"/>
      <c r="AJ252" s="112"/>
      <c r="AK252" s="3"/>
      <c r="AL252" s="1"/>
      <c r="AM252" s="2"/>
      <c r="AN252" s="3"/>
      <c r="AO252" s="3"/>
      <c r="AP252" s="3"/>
      <c r="AQ252" s="3"/>
    </row>
    <row r="253" spans="1:43" ht="15.75" customHeight="1">
      <c r="A253" s="52"/>
      <c r="B253" s="5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101"/>
      <c r="AI253" s="101"/>
      <c r="AJ253" s="112"/>
      <c r="AK253" s="3"/>
      <c r="AL253" s="1"/>
      <c r="AM253" s="2"/>
      <c r="AN253" s="3"/>
      <c r="AO253" s="3"/>
      <c r="AP253" s="3"/>
      <c r="AQ253" s="3"/>
    </row>
    <row r="254" spans="1:43" ht="15.75" customHeight="1">
      <c r="A254" s="52"/>
      <c r="B254" s="5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101"/>
      <c r="AI254" s="101"/>
      <c r="AJ254" s="112"/>
      <c r="AK254" s="3"/>
      <c r="AL254" s="1"/>
      <c r="AM254" s="2"/>
      <c r="AN254" s="3"/>
      <c r="AO254" s="3"/>
      <c r="AP254" s="3"/>
      <c r="AQ254" s="3"/>
    </row>
    <row r="255" spans="1:43" ht="15.75" customHeight="1">
      <c r="A255" s="52"/>
      <c r="B255" s="5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101"/>
      <c r="AI255" s="101"/>
      <c r="AJ255" s="112"/>
      <c r="AK255" s="3"/>
      <c r="AL255" s="1"/>
      <c r="AM255" s="2"/>
      <c r="AN255" s="3"/>
      <c r="AO255" s="3"/>
      <c r="AP255" s="3"/>
      <c r="AQ255" s="3"/>
    </row>
    <row r="256" spans="1:43" ht="15.75" customHeight="1">
      <c r="A256" s="52"/>
      <c r="B256" s="5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101"/>
      <c r="AI256" s="101"/>
      <c r="AJ256" s="112"/>
      <c r="AK256" s="3"/>
      <c r="AL256" s="1"/>
      <c r="AM256" s="2"/>
      <c r="AN256" s="3"/>
      <c r="AO256" s="3"/>
      <c r="AP256" s="3"/>
      <c r="AQ256" s="3"/>
    </row>
    <row r="257" spans="1:43" ht="15.75" customHeight="1">
      <c r="A257" s="52"/>
      <c r="B257" s="5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101"/>
      <c r="AI257" s="101"/>
      <c r="AJ257" s="112"/>
      <c r="AK257" s="3"/>
      <c r="AL257" s="1"/>
      <c r="AM257" s="2"/>
      <c r="AN257" s="3"/>
      <c r="AO257" s="3"/>
      <c r="AP257" s="3"/>
      <c r="AQ257" s="3"/>
    </row>
    <row r="258" spans="1:43" ht="15.75" customHeight="1">
      <c r="A258" s="52"/>
      <c r="B258" s="5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101"/>
      <c r="AI258" s="101"/>
      <c r="AJ258" s="112"/>
      <c r="AK258" s="3"/>
      <c r="AL258" s="1"/>
      <c r="AM258" s="2"/>
      <c r="AN258" s="3"/>
      <c r="AO258" s="3"/>
      <c r="AP258" s="3"/>
      <c r="AQ258" s="3"/>
    </row>
    <row r="259" spans="1:43" ht="15.75" customHeight="1">
      <c r="A259" s="52"/>
      <c r="B259" s="5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101"/>
      <c r="AI259" s="101"/>
      <c r="AJ259" s="112"/>
      <c r="AK259" s="3"/>
      <c r="AL259" s="1"/>
      <c r="AM259" s="2"/>
      <c r="AN259" s="3"/>
      <c r="AO259" s="3"/>
      <c r="AP259" s="3"/>
      <c r="AQ259" s="3"/>
    </row>
    <row r="260" spans="1:43" ht="15.75" customHeight="1">
      <c r="A260" s="52"/>
      <c r="B260" s="5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101"/>
      <c r="AI260" s="101"/>
      <c r="AJ260" s="112"/>
      <c r="AK260" s="3"/>
      <c r="AL260" s="1"/>
      <c r="AM260" s="2"/>
      <c r="AN260" s="3"/>
      <c r="AO260" s="3"/>
      <c r="AP260" s="3"/>
      <c r="AQ260" s="3"/>
    </row>
    <row r="261" spans="1:43" ht="15.75" customHeight="1">
      <c r="A261" s="52"/>
      <c r="B261" s="5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101"/>
      <c r="AI261" s="101"/>
      <c r="AJ261" s="112"/>
      <c r="AK261" s="3"/>
      <c r="AL261" s="1"/>
      <c r="AM261" s="2"/>
      <c r="AN261" s="3"/>
      <c r="AO261" s="3"/>
      <c r="AP261" s="3"/>
      <c r="AQ261" s="3"/>
    </row>
    <row r="262" spans="1:43" ht="15.75" customHeight="1">
      <c r="A262" s="52"/>
      <c r="B262" s="5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101"/>
      <c r="AI262" s="101"/>
      <c r="AJ262" s="112"/>
      <c r="AK262" s="3"/>
      <c r="AL262" s="1"/>
      <c r="AM262" s="2"/>
      <c r="AN262" s="3"/>
      <c r="AO262" s="3"/>
      <c r="AP262" s="3"/>
      <c r="AQ262" s="3"/>
    </row>
    <row r="263" spans="1:43" ht="15.75" customHeight="1">
      <c r="A263" s="52"/>
      <c r="B263" s="5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101"/>
      <c r="AI263" s="101"/>
      <c r="AJ263" s="112"/>
      <c r="AK263" s="3"/>
      <c r="AL263" s="1"/>
      <c r="AM263" s="2"/>
      <c r="AN263" s="3"/>
      <c r="AO263" s="3"/>
      <c r="AP263" s="3"/>
      <c r="AQ263" s="3"/>
    </row>
    <row r="264" spans="1:43" ht="15.75" customHeight="1">
      <c r="A264" s="52"/>
      <c r="B264" s="5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101"/>
      <c r="AI264" s="101"/>
      <c r="AJ264" s="112"/>
      <c r="AK264" s="3"/>
      <c r="AL264" s="1"/>
      <c r="AM264" s="2"/>
      <c r="AN264" s="3"/>
      <c r="AO264" s="3"/>
      <c r="AP264" s="3"/>
      <c r="AQ264" s="3"/>
    </row>
    <row r="265" spans="1:43" ht="15.75" customHeight="1">
      <c r="A265" s="52"/>
      <c r="B265" s="5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101"/>
      <c r="AI265" s="101"/>
      <c r="AJ265" s="112"/>
      <c r="AK265" s="3"/>
      <c r="AL265" s="1"/>
      <c r="AM265" s="2"/>
      <c r="AN265" s="3"/>
      <c r="AO265" s="3"/>
      <c r="AP265" s="3"/>
      <c r="AQ265" s="3"/>
    </row>
    <row r="266" spans="1:43" ht="15.75" customHeight="1">
      <c r="A266" s="52"/>
      <c r="B266" s="5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101"/>
      <c r="AI266" s="101"/>
      <c r="AJ266" s="112"/>
      <c r="AK266" s="3"/>
      <c r="AL266" s="1"/>
      <c r="AM266" s="2"/>
      <c r="AN266" s="3"/>
      <c r="AO266" s="3"/>
      <c r="AP266" s="3"/>
      <c r="AQ266" s="3"/>
    </row>
    <row r="267" spans="1:43" ht="15.75" customHeight="1">
      <c r="A267" s="52"/>
      <c r="B267" s="5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101"/>
      <c r="AI267" s="101"/>
      <c r="AJ267" s="112"/>
      <c r="AK267" s="3"/>
      <c r="AL267" s="1"/>
      <c r="AM267" s="2"/>
      <c r="AN267" s="3"/>
      <c r="AO267" s="3"/>
      <c r="AP267" s="3"/>
      <c r="AQ267" s="3"/>
    </row>
    <row r="268" spans="1:43" ht="15.75" customHeight="1">
      <c r="A268" s="52"/>
      <c r="B268" s="5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101"/>
      <c r="AI268" s="101"/>
      <c r="AJ268" s="112"/>
      <c r="AK268" s="3"/>
      <c r="AL268" s="1"/>
      <c r="AM268" s="2"/>
      <c r="AN268" s="3"/>
      <c r="AO268" s="3"/>
      <c r="AP268" s="3"/>
      <c r="AQ268" s="3"/>
    </row>
    <row r="269" spans="1:43" ht="15.75" customHeight="1">
      <c r="A269" s="52"/>
      <c r="B269" s="5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101"/>
      <c r="AI269" s="101"/>
      <c r="AJ269" s="112"/>
      <c r="AK269" s="3"/>
      <c r="AL269" s="1"/>
      <c r="AM269" s="2"/>
      <c r="AN269" s="3"/>
      <c r="AO269" s="3"/>
      <c r="AP269" s="3"/>
      <c r="AQ269" s="3"/>
    </row>
    <row r="270" spans="1:43" ht="15.75" customHeight="1">
      <c r="A270" s="52"/>
      <c r="B270" s="5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101"/>
      <c r="AI270" s="101"/>
      <c r="AJ270" s="112"/>
      <c r="AK270" s="3"/>
      <c r="AL270" s="1"/>
      <c r="AM270" s="2"/>
      <c r="AN270" s="3"/>
      <c r="AO270" s="3"/>
      <c r="AP270" s="3"/>
      <c r="AQ270" s="3"/>
    </row>
    <row r="271" spans="1:43" ht="15.75" customHeight="1">
      <c r="A271" s="52"/>
      <c r="B271" s="5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101"/>
      <c r="AI271" s="101"/>
      <c r="AJ271" s="112"/>
      <c r="AK271" s="3"/>
      <c r="AL271" s="1"/>
      <c r="AM271" s="2"/>
      <c r="AN271" s="3"/>
      <c r="AO271" s="3"/>
      <c r="AP271" s="3"/>
      <c r="AQ271" s="3"/>
    </row>
    <row r="272" spans="1:43" ht="15.75" customHeight="1">
      <c r="A272" s="52"/>
      <c r="B272" s="5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101"/>
      <c r="AI272" s="101"/>
      <c r="AJ272" s="112"/>
      <c r="AK272" s="3"/>
      <c r="AL272" s="1"/>
      <c r="AM272" s="2"/>
      <c r="AN272" s="3"/>
      <c r="AO272" s="3"/>
      <c r="AP272" s="3"/>
      <c r="AQ272" s="3"/>
    </row>
    <row r="273" spans="1:43" ht="15.75" customHeight="1">
      <c r="A273" s="52"/>
      <c r="B273" s="5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101"/>
      <c r="AI273" s="101"/>
      <c r="AJ273" s="112"/>
      <c r="AK273" s="3"/>
      <c r="AL273" s="1"/>
      <c r="AM273" s="2"/>
      <c r="AN273" s="3"/>
      <c r="AO273" s="3"/>
      <c r="AP273" s="3"/>
      <c r="AQ273" s="3"/>
    </row>
    <row r="274" spans="1:43" ht="15.75" customHeight="1">
      <c r="A274" s="52"/>
      <c r="B274" s="5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101"/>
      <c r="AI274" s="101"/>
      <c r="AJ274" s="112"/>
      <c r="AK274" s="3"/>
      <c r="AL274" s="1"/>
      <c r="AM274" s="2"/>
      <c r="AN274" s="3"/>
      <c r="AO274" s="3"/>
      <c r="AP274" s="3"/>
      <c r="AQ274" s="3"/>
    </row>
    <row r="275" spans="1:43" ht="15.75" customHeight="1">
      <c r="A275" s="52"/>
      <c r="B275" s="5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101"/>
      <c r="AI275" s="101"/>
      <c r="AJ275" s="112"/>
      <c r="AK275" s="3"/>
      <c r="AL275" s="1"/>
      <c r="AM275" s="2"/>
      <c r="AN275" s="3"/>
      <c r="AO275" s="3"/>
      <c r="AP275" s="3"/>
      <c r="AQ275" s="3"/>
    </row>
    <row r="276" spans="1:43" ht="15.75" customHeight="1">
      <c r="A276" s="52"/>
      <c r="B276" s="5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101"/>
      <c r="AI276" s="101"/>
      <c r="AJ276" s="112"/>
      <c r="AK276" s="3"/>
      <c r="AL276" s="1"/>
      <c r="AM276" s="2"/>
      <c r="AN276" s="3"/>
      <c r="AO276" s="3"/>
      <c r="AP276" s="3"/>
      <c r="AQ276" s="3"/>
    </row>
    <row r="277" spans="1:43" ht="15.75" customHeight="1">
      <c r="A277" s="52"/>
      <c r="B277" s="5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101"/>
      <c r="AI277" s="101"/>
      <c r="AJ277" s="112"/>
      <c r="AK277" s="3"/>
      <c r="AL277" s="1"/>
      <c r="AM277" s="2"/>
      <c r="AN277" s="3"/>
      <c r="AO277" s="3"/>
      <c r="AP277" s="3"/>
      <c r="AQ277" s="3"/>
    </row>
    <row r="278" spans="1:43" ht="15.75" customHeight="1">
      <c r="A278" s="52"/>
      <c r="B278" s="5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101"/>
      <c r="AI278" s="101"/>
      <c r="AJ278" s="112"/>
      <c r="AK278" s="3"/>
      <c r="AL278" s="1"/>
      <c r="AM278" s="2"/>
      <c r="AN278" s="3"/>
      <c r="AO278" s="3"/>
      <c r="AP278" s="3"/>
      <c r="AQ278" s="3"/>
    </row>
    <row r="279" spans="1:43" ht="15.75" customHeight="1">
      <c r="A279" s="52"/>
      <c r="B279" s="5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101"/>
      <c r="AI279" s="101"/>
      <c r="AJ279" s="112"/>
      <c r="AK279" s="3"/>
      <c r="AL279" s="1"/>
      <c r="AM279" s="2"/>
      <c r="AN279" s="3"/>
      <c r="AO279" s="3"/>
      <c r="AP279" s="3"/>
      <c r="AQ279" s="3"/>
    </row>
    <row r="280" spans="1:43" ht="15.75" customHeight="1">
      <c r="A280" s="52"/>
      <c r="B280" s="5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101"/>
      <c r="AI280" s="101"/>
      <c r="AJ280" s="112"/>
      <c r="AK280" s="3"/>
      <c r="AL280" s="1"/>
      <c r="AM280" s="2"/>
      <c r="AN280" s="3"/>
      <c r="AO280" s="3"/>
      <c r="AP280" s="3"/>
      <c r="AQ280" s="3"/>
    </row>
    <row r="281" spans="1:43" ht="15.75" customHeight="1">
      <c r="A281" s="52"/>
      <c r="B281" s="5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101"/>
      <c r="AI281" s="101"/>
      <c r="AJ281" s="112"/>
      <c r="AK281" s="3"/>
      <c r="AL281" s="1"/>
      <c r="AM281" s="2"/>
      <c r="AN281" s="3"/>
      <c r="AO281" s="3"/>
      <c r="AP281" s="3"/>
      <c r="AQ281" s="3"/>
    </row>
    <row r="282" spans="1:43" ht="15.75" customHeight="1">
      <c r="A282" s="52"/>
      <c r="B282" s="5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101"/>
      <c r="AI282" s="101"/>
      <c r="AJ282" s="112"/>
      <c r="AK282" s="3"/>
      <c r="AL282" s="1"/>
      <c r="AM282" s="2"/>
      <c r="AN282" s="3"/>
      <c r="AO282" s="3"/>
      <c r="AP282" s="3"/>
      <c r="AQ282" s="3"/>
    </row>
    <row r="283" spans="1:43" ht="15.75" customHeight="1">
      <c r="A283" s="52"/>
      <c r="B283" s="5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101"/>
      <c r="AI283" s="101"/>
      <c r="AJ283" s="112"/>
      <c r="AK283" s="3"/>
      <c r="AL283" s="1"/>
      <c r="AM283" s="2"/>
      <c r="AN283" s="3"/>
      <c r="AO283" s="3"/>
      <c r="AP283" s="3"/>
      <c r="AQ283" s="3"/>
    </row>
    <row r="284" spans="1:43" ht="15.75" customHeight="1">
      <c r="A284" s="52"/>
      <c r="B284" s="5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101"/>
      <c r="AI284" s="101"/>
      <c r="AJ284" s="112"/>
      <c r="AK284" s="3"/>
      <c r="AL284" s="1"/>
      <c r="AM284" s="2"/>
      <c r="AN284" s="3"/>
      <c r="AO284" s="3"/>
      <c r="AP284" s="3"/>
      <c r="AQ284" s="3"/>
    </row>
    <row r="285" spans="1:43" ht="15.75" customHeight="1">
      <c r="A285" s="52"/>
      <c r="B285" s="5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101"/>
      <c r="AI285" s="101"/>
      <c r="AJ285" s="112"/>
      <c r="AK285" s="3"/>
      <c r="AL285" s="1"/>
      <c r="AM285" s="2"/>
      <c r="AN285" s="3"/>
      <c r="AO285" s="3"/>
      <c r="AP285" s="3"/>
      <c r="AQ285" s="3"/>
    </row>
    <row r="286" spans="1:43" ht="15.75" customHeight="1">
      <c r="A286" s="52"/>
      <c r="B286" s="5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101"/>
      <c r="AI286" s="101"/>
      <c r="AJ286" s="112"/>
      <c r="AK286" s="3"/>
      <c r="AL286" s="1"/>
      <c r="AM286" s="2"/>
      <c r="AN286" s="3"/>
      <c r="AO286" s="3"/>
      <c r="AP286" s="3"/>
      <c r="AQ286" s="3"/>
    </row>
    <row r="287" spans="1:43" ht="15.75" customHeight="1">
      <c r="A287" s="52"/>
      <c r="B287" s="5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101"/>
      <c r="AI287" s="101"/>
      <c r="AJ287" s="112"/>
      <c r="AK287" s="3"/>
      <c r="AL287" s="1"/>
      <c r="AM287" s="2"/>
      <c r="AN287" s="3"/>
      <c r="AO287" s="3"/>
      <c r="AP287" s="3"/>
      <c r="AQ287" s="3"/>
    </row>
    <row r="288" spans="1:43" ht="15.75" customHeight="1">
      <c r="A288" s="52"/>
      <c r="B288" s="5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101"/>
      <c r="AI288" s="101"/>
      <c r="AJ288" s="112"/>
      <c r="AK288" s="3"/>
      <c r="AL288" s="1"/>
      <c r="AM288" s="2"/>
      <c r="AN288" s="3"/>
      <c r="AO288" s="3"/>
      <c r="AP288" s="3"/>
      <c r="AQ288" s="3"/>
    </row>
    <row r="289" spans="1:43" ht="15.75" customHeight="1">
      <c r="A289" s="52"/>
      <c r="B289" s="5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101"/>
      <c r="AI289" s="101"/>
      <c r="AJ289" s="112"/>
      <c r="AK289" s="3"/>
      <c r="AL289" s="1"/>
      <c r="AM289" s="2"/>
      <c r="AN289" s="3"/>
      <c r="AO289" s="3"/>
      <c r="AP289" s="3"/>
      <c r="AQ289" s="3"/>
    </row>
    <row r="290" spans="1:43" ht="15.75" customHeight="1">
      <c r="A290" s="52"/>
      <c r="B290" s="5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101"/>
      <c r="AI290" s="101"/>
      <c r="AJ290" s="112"/>
      <c r="AK290" s="3"/>
      <c r="AL290" s="1"/>
      <c r="AM290" s="2"/>
      <c r="AN290" s="3"/>
      <c r="AO290" s="3"/>
      <c r="AP290" s="3"/>
      <c r="AQ290" s="3"/>
    </row>
    <row r="291" spans="1:43" ht="15.75" customHeight="1">
      <c r="A291" s="52"/>
      <c r="B291" s="5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101"/>
      <c r="AI291" s="101"/>
      <c r="AJ291" s="112"/>
      <c r="AK291" s="3"/>
      <c r="AL291" s="1"/>
      <c r="AM291" s="2"/>
      <c r="AN291" s="3"/>
      <c r="AO291" s="3"/>
      <c r="AP291" s="3"/>
      <c r="AQ291" s="3"/>
    </row>
    <row r="292" spans="1:43" ht="15.75" customHeight="1">
      <c r="A292" s="52"/>
      <c r="B292" s="5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101"/>
      <c r="AI292" s="101"/>
      <c r="AJ292" s="112"/>
      <c r="AK292" s="3"/>
      <c r="AL292" s="1"/>
      <c r="AM292" s="2"/>
      <c r="AN292" s="3"/>
      <c r="AO292" s="3"/>
      <c r="AP292" s="3"/>
      <c r="AQ292" s="3"/>
    </row>
    <row r="293" spans="1:43" ht="15.75" customHeight="1">
      <c r="A293" s="52"/>
      <c r="B293" s="5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101"/>
      <c r="AI293" s="101"/>
      <c r="AJ293" s="112"/>
      <c r="AK293" s="3"/>
      <c r="AL293" s="1"/>
      <c r="AM293" s="2"/>
      <c r="AN293" s="3"/>
      <c r="AO293" s="3"/>
      <c r="AP293" s="3"/>
      <c r="AQ293" s="3"/>
    </row>
    <row r="294" spans="1:43" ht="15.75" customHeight="1">
      <c r="A294" s="52"/>
      <c r="B294" s="5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101"/>
      <c r="AI294" s="101"/>
      <c r="AJ294" s="112"/>
      <c r="AK294" s="3"/>
      <c r="AL294" s="1"/>
      <c r="AM294" s="2"/>
      <c r="AN294" s="3"/>
      <c r="AO294" s="3"/>
      <c r="AP294" s="3"/>
      <c r="AQ294" s="3"/>
    </row>
    <row r="295" spans="1:43" ht="15.75" customHeight="1">
      <c r="A295" s="52"/>
      <c r="B295" s="5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101"/>
      <c r="AI295" s="101"/>
      <c r="AJ295" s="112"/>
      <c r="AK295" s="3"/>
      <c r="AL295" s="1"/>
      <c r="AM295" s="2"/>
      <c r="AN295" s="3"/>
      <c r="AO295" s="3"/>
      <c r="AP295" s="3"/>
      <c r="AQ295" s="3"/>
    </row>
    <row r="296" spans="1:43" ht="15.75" customHeight="1">
      <c r="A296" s="52"/>
      <c r="B296" s="5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101"/>
      <c r="AI296" s="101"/>
      <c r="AJ296" s="112"/>
      <c r="AK296" s="3"/>
      <c r="AL296" s="1"/>
      <c r="AM296" s="2"/>
      <c r="AN296" s="3"/>
      <c r="AO296" s="3"/>
      <c r="AP296" s="3"/>
      <c r="AQ296" s="3"/>
    </row>
    <row r="297" spans="1:43" ht="15.75" customHeight="1">
      <c r="A297" s="52"/>
      <c r="B297" s="5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101"/>
      <c r="AI297" s="101"/>
      <c r="AJ297" s="112"/>
      <c r="AK297" s="3"/>
      <c r="AL297" s="1"/>
      <c r="AM297" s="2"/>
      <c r="AN297" s="3"/>
      <c r="AO297" s="3"/>
      <c r="AP297" s="3"/>
      <c r="AQ297" s="3"/>
    </row>
    <row r="298" spans="1:43" ht="15.75" customHeight="1">
      <c r="A298" s="52"/>
      <c r="B298" s="5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101"/>
      <c r="AI298" s="101"/>
      <c r="AJ298" s="112"/>
      <c r="AK298" s="3"/>
      <c r="AL298" s="1"/>
      <c r="AM298" s="2"/>
      <c r="AN298" s="3"/>
      <c r="AO298" s="3"/>
      <c r="AP298" s="3"/>
      <c r="AQ298" s="3"/>
    </row>
    <row r="299" spans="1:43" ht="15.75" customHeight="1">
      <c r="A299" s="52"/>
      <c r="B299" s="5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101"/>
      <c r="AI299" s="101"/>
      <c r="AJ299" s="112"/>
      <c r="AK299" s="3"/>
      <c r="AL299" s="1"/>
      <c r="AM299" s="2"/>
      <c r="AN299" s="3"/>
      <c r="AO299" s="3"/>
      <c r="AP299" s="3"/>
      <c r="AQ299" s="3"/>
    </row>
    <row r="300" spans="1:43" ht="15.75" customHeight="1">
      <c r="A300" s="52"/>
      <c r="B300" s="5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101"/>
      <c r="AI300" s="101"/>
      <c r="AJ300" s="112"/>
      <c r="AK300" s="3"/>
      <c r="AL300" s="1"/>
      <c r="AM300" s="2"/>
      <c r="AN300" s="3"/>
      <c r="AO300" s="3"/>
      <c r="AP300" s="3"/>
      <c r="AQ300" s="3"/>
    </row>
    <row r="301" spans="1:43" ht="15.75" customHeight="1">
      <c r="A301" s="52"/>
      <c r="B301" s="5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101"/>
      <c r="AI301" s="101"/>
      <c r="AJ301" s="112"/>
      <c r="AK301" s="3"/>
      <c r="AL301" s="1"/>
      <c r="AM301" s="2"/>
      <c r="AN301" s="3"/>
      <c r="AO301" s="3"/>
      <c r="AP301" s="3"/>
      <c r="AQ301" s="3"/>
    </row>
    <row r="302" spans="1:43" ht="15.75" customHeight="1">
      <c r="A302" s="52"/>
      <c r="B302" s="5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101"/>
      <c r="AI302" s="101"/>
      <c r="AJ302" s="112"/>
      <c r="AK302" s="3"/>
      <c r="AL302" s="1"/>
      <c r="AM302" s="2"/>
      <c r="AN302" s="3"/>
      <c r="AO302" s="3"/>
      <c r="AP302" s="3"/>
      <c r="AQ302" s="3"/>
    </row>
    <row r="303" spans="1:43" ht="15.75" customHeight="1">
      <c r="A303" s="52"/>
      <c r="B303" s="5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101"/>
      <c r="AI303" s="101"/>
      <c r="AJ303" s="112"/>
      <c r="AK303" s="3"/>
      <c r="AL303" s="1"/>
      <c r="AM303" s="2"/>
      <c r="AN303" s="3"/>
      <c r="AO303" s="3"/>
      <c r="AP303" s="3"/>
      <c r="AQ303" s="3"/>
    </row>
    <row r="304" spans="1:43" ht="15.75" customHeight="1">
      <c r="A304" s="52"/>
      <c r="B304" s="5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101"/>
      <c r="AI304" s="101"/>
      <c r="AJ304" s="112"/>
      <c r="AK304" s="3"/>
      <c r="AL304" s="1"/>
      <c r="AM304" s="2"/>
      <c r="AN304" s="3"/>
      <c r="AO304" s="3"/>
      <c r="AP304" s="3"/>
      <c r="AQ304" s="3"/>
    </row>
    <row r="305" spans="1:43" ht="15.75" customHeight="1">
      <c r="A305" s="52"/>
      <c r="B305" s="5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101"/>
      <c r="AI305" s="101"/>
      <c r="AJ305" s="112"/>
      <c r="AK305" s="3"/>
      <c r="AL305" s="1"/>
      <c r="AM305" s="2"/>
      <c r="AN305" s="3"/>
      <c r="AO305" s="3"/>
      <c r="AP305" s="3"/>
      <c r="AQ305" s="3"/>
    </row>
    <row r="306" spans="1:43" ht="15.75" customHeight="1">
      <c r="A306" s="52"/>
      <c r="B306" s="5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101"/>
      <c r="AI306" s="101"/>
      <c r="AJ306" s="112"/>
      <c r="AK306" s="3"/>
      <c r="AL306" s="1"/>
      <c r="AM306" s="2"/>
      <c r="AN306" s="3"/>
      <c r="AO306" s="3"/>
      <c r="AP306" s="3"/>
      <c r="AQ306" s="3"/>
    </row>
    <row r="307" spans="1:43" ht="15.75" customHeight="1">
      <c r="A307" s="52"/>
      <c r="B307" s="5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101"/>
      <c r="AI307" s="101"/>
      <c r="AJ307" s="112"/>
      <c r="AK307" s="3"/>
      <c r="AL307" s="1"/>
      <c r="AM307" s="2"/>
      <c r="AN307" s="3"/>
      <c r="AO307" s="3"/>
      <c r="AP307" s="3"/>
      <c r="AQ307" s="3"/>
    </row>
    <row r="308" spans="1:43" ht="15.75" customHeight="1">
      <c r="A308" s="52"/>
      <c r="B308" s="5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101"/>
      <c r="AI308" s="101"/>
      <c r="AJ308" s="112"/>
      <c r="AK308" s="3"/>
      <c r="AL308" s="1"/>
      <c r="AM308" s="2"/>
      <c r="AN308" s="3"/>
      <c r="AO308" s="3"/>
      <c r="AP308" s="3"/>
      <c r="AQ308" s="3"/>
    </row>
    <row r="309" spans="1:43" ht="15.75" customHeight="1">
      <c r="A309" s="52"/>
      <c r="B309" s="5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101"/>
      <c r="AI309" s="101"/>
      <c r="AJ309" s="112"/>
      <c r="AK309" s="3"/>
      <c r="AL309" s="1"/>
      <c r="AM309" s="2"/>
      <c r="AN309" s="3"/>
      <c r="AO309" s="3"/>
      <c r="AP309" s="3"/>
      <c r="AQ309" s="3"/>
    </row>
    <row r="310" spans="1:43" ht="15.75" customHeight="1">
      <c r="A310" s="52"/>
      <c r="B310" s="5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101"/>
      <c r="AI310" s="101"/>
      <c r="AJ310" s="112"/>
      <c r="AK310" s="3"/>
      <c r="AL310" s="1"/>
      <c r="AM310" s="2"/>
      <c r="AN310" s="3"/>
      <c r="AO310" s="3"/>
      <c r="AP310" s="3"/>
      <c r="AQ310" s="3"/>
    </row>
    <row r="311" spans="1:43" ht="15.75" customHeight="1">
      <c r="A311" s="52"/>
      <c r="B311" s="5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101"/>
      <c r="AI311" s="101"/>
      <c r="AJ311" s="112"/>
      <c r="AK311" s="3"/>
      <c r="AL311" s="1"/>
      <c r="AM311" s="2"/>
      <c r="AN311" s="3"/>
      <c r="AO311" s="3"/>
      <c r="AP311" s="3"/>
      <c r="AQ311" s="3"/>
    </row>
    <row r="312" spans="1:43" ht="15.75" customHeight="1">
      <c r="A312" s="52"/>
      <c r="B312" s="5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101"/>
      <c r="AI312" s="101"/>
      <c r="AJ312" s="112"/>
      <c r="AK312" s="3"/>
      <c r="AL312" s="1"/>
      <c r="AM312" s="2"/>
      <c r="AN312" s="3"/>
      <c r="AO312" s="3"/>
      <c r="AP312" s="3"/>
      <c r="AQ312" s="3"/>
    </row>
    <row r="313" spans="1:43" ht="15.75" customHeight="1">
      <c r="A313" s="52"/>
      <c r="B313" s="5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101"/>
      <c r="AI313" s="101"/>
      <c r="AJ313" s="112"/>
      <c r="AK313" s="3"/>
      <c r="AL313" s="1"/>
      <c r="AM313" s="2"/>
      <c r="AN313" s="3"/>
      <c r="AO313" s="3"/>
      <c r="AP313" s="3"/>
      <c r="AQ313" s="3"/>
    </row>
    <row r="314" spans="1:43" ht="15.75" customHeight="1">
      <c r="A314" s="52"/>
      <c r="B314" s="5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101"/>
      <c r="AI314" s="101"/>
      <c r="AJ314" s="112"/>
      <c r="AK314" s="3"/>
      <c r="AL314" s="1"/>
      <c r="AM314" s="2"/>
      <c r="AN314" s="3"/>
      <c r="AO314" s="3"/>
      <c r="AP314" s="3"/>
      <c r="AQ314" s="3"/>
    </row>
    <row r="315" spans="1:43" ht="15.75" customHeight="1">
      <c r="A315" s="52"/>
      <c r="B315" s="5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101"/>
      <c r="AI315" s="101"/>
      <c r="AJ315" s="112"/>
      <c r="AK315" s="3"/>
      <c r="AL315" s="1"/>
      <c r="AM315" s="2"/>
      <c r="AN315" s="3"/>
      <c r="AO315" s="3"/>
      <c r="AP315" s="3"/>
      <c r="AQ315" s="3"/>
    </row>
    <row r="316" spans="1:43" ht="15.75" customHeight="1">
      <c r="A316" s="52"/>
      <c r="B316" s="5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101"/>
      <c r="AI316" s="101"/>
      <c r="AJ316" s="112"/>
      <c r="AK316" s="3"/>
      <c r="AL316" s="1"/>
      <c r="AM316" s="2"/>
      <c r="AN316" s="3"/>
      <c r="AO316" s="3"/>
      <c r="AP316" s="3"/>
      <c r="AQ316" s="3"/>
    </row>
    <row r="317" spans="1:43" ht="15.75" customHeight="1">
      <c r="A317" s="52"/>
      <c r="B317" s="5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101"/>
      <c r="AI317" s="101"/>
      <c r="AJ317" s="112"/>
      <c r="AK317" s="3"/>
      <c r="AL317" s="1"/>
      <c r="AM317" s="2"/>
      <c r="AN317" s="3"/>
      <c r="AO317" s="3"/>
      <c r="AP317" s="3"/>
      <c r="AQ317" s="3"/>
    </row>
    <row r="318" spans="1:43" ht="15.75" customHeight="1">
      <c r="A318" s="52"/>
      <c r="B318" s="5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101"/>
      <c r="AI318" s="101"/>
      <c r="AJ318" s="112"/>
      <c r="AK318" s="3"/>
      <c r="AL318" s="1"/>
      <c r="AM318" s="2"/>
      <c r="AN318" s="3"/>
      <c r="AO318" s="3"/>
      <c r="AP318" s="3"/>
      <c r="AQ318" s="3"/>
    </row>
    <row r="319" spans="1:43" ht="15.75" customHeight="1">
      <c r="A319" s="52"/>
      <c r="B319" s="5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101"/>
      <c r="AI319" s="101"/>
      <c r="AJ319" s="112"/>
      <c r="AK319" s="3"/>
      <c r="AL319" s="1"/>
      <c r="AM319" s="2"/>
      <c r="AN319" s="3"/>
      <c r="AO319" s="3"/>
      <c r="AP319" s="3"/>
      <c r="AQ319" s="3"/>
    </row>
    <row r="320" spans="1:43" ht="15.75" customHeight="1">
      <c r="A320" s="52"/>
      <c r="B320" s="5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101"/>
      <c r="AI320" s="101"/>
      <c r="AJ320" s="112"/>
      <c r="AK320" s="3"/>
      <c r="AL320" s="1"/>
      <c r="AM320" s="2"/>
      <c r="AN320" s="3"/>
      <c r="AO320" s="3"/>
      <c r="AP320" s="3"/>
      <c r="AQ320" s="3"/>
    </row>
    <row r="321" spans="1:43" ht="15.75" customHeight="1">
      <c r="A321" s="52"/>
      <c r="B321" s="5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101"/>
      <c r="AI321" s="101"/>
      <c r="AJ321" s="112"/>
      <c r="AK321" s="3"/>
      <c r="AL321" s="1"/>
      <c r="AM321" s="2"/>
      <c r="AN321" s="3"/>
      <c r="AO321" s="3"/>
      <c r="AP321" s="3"/>
      <c r="AQ321" s="3"/>
    </row>
    <row r="322" spans="1:43" ht="15.75" customHeight="1">
      <c r="A322" s="52"/>
      <c r="B322" s="5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101"/>
      <c r="AI322" s="101"/>
      <c r="AJ322" s="112"/>
      <c r="AK322" s="3"/>
      <c r="AL322" s="1"/>
      <c r="AM322" s="2"/>
      <c r="AN322" s="3"/>
      <c r="AO322" s="3"/>
      <c r="AP322" s="3"/>
      <c r="AQ322" s="3"/>
    </row>
    <row r="323" spans="1:43" ht="15.75" customHeight="1">
      <c r="A323" s="52"/>
      <c r="B323" s="5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101"/>
      <c r="AI323" s="101"/>
      <c r="AJ323" s="112"/>
      <c r="AK323" s="3"/>
      <c r="AL323" s="1"/>
      <c r="AM323" s="2"/>
      <c r="AN323" s="3"/>
      <c r="AO323" s="3"/>
      <c r="AP323" s="3"/>
      <c r="AQ323" s="3"/>
    </row>
    <row r="324" spans="1:43" ht="15.75" customHeight="1">
      <c r="A324" s="52"/>
      <c r="B324" s="5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101"/>
      <c r="AI324" s="101"/>
      <c r="AJ324" s="112"/>
      <c r="AK324" s="3"/>
      <c r="AL324" s="1"/>
      <c r="AM324" s="2"/>
      <c r="AN324" s="3"/>
      <c r="AO324" s="3"/>
      <c r="AP324" s="3"/>
      <c r="AQ324" s="3"/>
    </row>
    <row r="325" spans="1:43" ht="15.75" customHeight="1">
      <c r="A325" s="52"/>
      <c r="B325" s="5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101"/>
      <c r="AI325" s="101"/>
      <c r="AJ325" s="112"/>
      <c r="AK325" s="3"/>
      <c r="AL325" s="1"/>
      <c r="AM325" s="2"/>
      <c r="AN325" s="3"/>
      <c r="AO325" s="3"/>
      <c r="AP325" s="3"/>
      <c r="AQ325" s="3"/>
    </row>
    <row r="326" spans="1:43" ht="15.75" customHeight="1">
      <c r="A326" s="52"/>
      <c r="B326" s="5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101"/>
      <c r="AI326" s="101"/>
      <c r="AJ326" s="112"/>
      <c r="AK326" s="3"/>
      <c r="AL326" s="1"/>
      <c r="AM326" s="2"/>
      <c r="AN326" s="3"/>
      <c r="AO326" s="3"/>
      <c r="AP326" s="3"/>
      <c r="AQ326" s="3"/>
    </row>
    <row r="327" spans="1:43" ht="15.75" customHeight="1">
      <c r="A327" s="52"/>
      <c r="B327" s="5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101"/>
      <c r="AI327" s="101"/>
      <c r="AJ327" s="112"/>
      <c r="AK327" s="3"/>
      <c r="AL327" s="1"/>
      <c r="AM327" s="2"/>
      <c r="AN327" s="3"/>
      <c r="AO327" s="3"/>
      <c r="AP327" s="3"/>
      <c r="AQ327" s="3"/>
    </row>
    <row r="328" spans="1:43" ht="15.75" customHeight="1">
      <c r="A328" s="52"/>
      <c r="B328" s="5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101"/>
      <c r="AI328" s="101"/>
      <c r="AJ328" s="112"/>
      <c r="AK328" s="3"/>
      <c r="AL328" s="1"/>
      <c r="AM328" s="2"/>
      <c r="AN328" s="3"/>
      <c r="AO328" s="3"/>
      <c r="AP328" s="3"/>
      <c r="AQ328" s="3"/>
    </row>
    <row r="329" spans="1:43" ht="15.75" customHeight="1">
      <c r="A329" s="52"/>
      <c r="B329" s="5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101"/>
      <c r="AI329" s="101"/>
      <c r="AJ329" s="112"/>
      <c r="AK329" s="3"/>
      <c r="AL329" s="1"/>
      <c r="AM329" s="2"/>
      <c r="AN329" s="3"/>
      <c r="AO329" s="3"/>
      <c r="AP329" s="3"/>
      <c r="AQ329" s="3"/>
    </row>
    <row r="330" spans="1:43" ht="15.75" customHeight="1">
      <c r="A330" s="52"/>
      <c r="B330" s="5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101"/>
      <c r="AI330" s="101"/>
      <c r="AJ330" s="112"/>
      <c r="AK330" s="3"/>
      <c r="AL330" s="1"/>
      <c r="AM330" s="2"/>
      <c r="AN330" s="3"/>
      <c r="AO330" s="3"/>
      <c r="AP330" s="3"/>
      <c r="AQ330" s="3"/>
    </row>
    <row r="331" spans="1:43" ht="15.75" customHeight="1">
      <c r="A331" s="52"/>
      <c r="B331" s="5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101"/>
      <c r="AI331" s="101"/>
      <c r="AJ331" s="112"/>
      <c r="AK331" s="3"/>
      <c r="AL331" s="1"/>
      <c r="AM331" s="2"/>
      <c r="AN331" s="3"/>
      <c r="AO331" s="3"/>
      <c r="AP331" s="3"/>
      <c r="AQ331" s="3"/>
    </row>
    <row r="332" spans="1:43" ht="15.75" customHeight="1">
      <c r="A332" s="52"/>
      <c r="B332" s="5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101"/>
      <c r="AI332" s="101"/>
      <c r="AJ332" s="112"/>
      <c r="AK332" s="3"/>
      <c r="AL332" s="1"/>
      <c r="AM332" s="2"/>
      <c r="AN332" s="3"/>
      <c r="AO332" s="3"/>
      <c r="AP332" s="3"/>
      <c r="AQ332" s="3"/>
    </row>
    <row r="333" spans="1:43" ht="15.75" customHeight="1">
      <c r="A333" s="52"/>
      <c r="B333" s="5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101"/>
      <c r="AI333" s="101"/>
      <c r="AJ333" s="112"/>
      <c r="AK333" s="3"/>
      <c r="AL333" s="1"/>
      <c r="AM333" s="2"/>
      <c r="AN333" s="3"/>
      <c r="AO333" s="3"/>
      <c r="AP333" s="3"/>
      <c r="AQ333" s="3"/>
    </row>
    <row r="334" spans="1:43" ht="15.75" customHeight="1">
      <c r="A334" s="52"/>
      <c r="B334" s="5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101"/>
      <c r="AI334" s="101"/>
      <c r="AJ334" s="112"/>
      <c r="AK334" s="3"/>
      <c r="AL334" s="1"/>
      <c r="AM334" s="2"/>
      <c r="AN334" s="3"/>
      <c r="AO334" s="3"/>
      <c r="AP334" s="3"/>
      <c r="AQ334" s="3"/>
    </row>
    <row r="335" spans="1:43" ht="15.75" customHeight="1">
      <c r="A335" s="52"/>
      <c r="B335" s="5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101"/>
      <c r="AI335" s="101"/>
      <c r="AJ335" s="112"/>
      <c r="AK335" s="3"/>
      <c r="AL335" s="1"/>
      <c r="AM335" s="2"/>
      <c r="AN335" s="3"/>
      <c r="AO335" s="3"/>
      <c r="AP335" s="3"/>
      <c r="AQ335" s="3"/>
    </row>
    <row r="336" spans="1:43" ht="15.75" customHeight="1">
      <c r="A336" s="52"/>
      <c r="B336" s="5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101"/>
      <c r="AI336" s="101"/>
      <c r="AJ336" s="112"/>
      <c r="AK336" s="3"/>
      <c r="AL336" s="1"/>
      <c r="AM336" s="2"/>
      <c r="AN336" s="3"/>
      <c r="AO336" s="3"/>
      <c r="AP336" s="3"/>
      <c r="AQ336" s="3"/>
    </row>
    <row r="337" spans="1:43" ht="15.75" customHeight="1">
      <c r="A337" s="52"/>
      <c r="B337" s="5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101"/>
      <c r="AI337" s="101"/>
      <c r="AJ337" s="112"/>
      <c r="AK337" s="3"/>
      <c r="AL337" s="1"/>
      <c r="AM337" s="2"/>
      <c r="AN337" s="3"/>
      <c r="AO337" s="3"/>
      <c r="AP337" s="3"/>
      <c r="AQ337" s="3"/>
    </row>
    <row r="338" spans="1:43" ht="15.75" customHeight="1">
      <c r="A338" s="52"/>
      <c r="B338" s="5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101"/>
      <c r="AI338" s="101"/>
      <c r="AJ338" s="112"/>
      <c r="AK338" s="3"/>
      <c r="AL338" s="1"/>
      <c r="AM338" s="2"/>
      <c r="AN338" s="3"/>
      <c r="AO338" s="3"/>
      <c r="AP338" s="3"/>
      <c r="AQ338" s="3"/>
    </row>
    <row r="339" spans="1:43" ht="15.75" customHeight="1">
      <c r="A339" s="52"/>
      <c r="B339" s="5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101"/>
      <c r="AI339" s="101"/>
      <c r="AJ339" s="112"/>
      <c r="AK339" s="3"/>
      <c r="AL339" s="1"/>
      <c r="AM339" s="2"/>
      <c r="AN339" s="3"/>
      <c r="AO339" s="3"/>
      <c r="AP339" s="3"/>
      <c r="AQ339" s="3"/>
    </row>
    <row r="340" spans="1:43" ht="15.75" customHeight="1">
      <c r="A340" s="52"/>
      <c r="B340" s="5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101"/>
      <c r="AI340" s="101"/>
      <c r="AJ340" s="112"/>
      <c r="AK340" s="3"/>
      <c r="AL340" s="1"/>
      <c r="AM340" s="2"/>
      <c r="AN340" s="3"/>
      <c r="AO340" s="3"/>
      <c r="AP340" s="3"/>
      <c r="AQ340" s="3"/>
    </row>
    <row r="341" spans="1:43" ht="15.75" customHeight="1">
      <c r="A341" s="52"/>
      <c r="B341" s="5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101"/>
      <c r="AI341" s="101"/>
      <c r="AJ341" s="112"/>
      <c r="AK341" s="3"/>
      <c r="AL341" s="1"/>
      <c r="AM341" s="2"/>
      <c r="AN341" s="3"/>
      <c r="AO341" s="3"/>
      <c r="AP341" s="3"/>
      <c r="AQ341" s="3"/>
    </row>
    <row r="342" spans="1:43" ht="15.75" customHeight="1">
      <c r="A342" s="52"/>
      <c r="B342" s="5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101"/>
      <c r="AI342" s="101"/>
      <c r="AJ342" s="112"/>
      <c r="AK342" s="3"/>
      <c r="AL342" s="1"/>
      <c r="AM342" s="2"/>
      <c r="AN342" s="3"/>
      <c r="AO342" s="3"/>
      <c r="AP342" s="3"/>
      <c r="AQ342" s="3"/>
    </row>
    <row r="343" spans="1:43" ht="15.75" customHeight="1">
      <c r="A343" s="52"/>
      <c r="B343" s="5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101"/>
      <c r="AI343" s="101"/>
      <c r="AJ343" s="112"/>
      <c r="AK343" s="3"/>
      <c r="AL343" s="1"/>
      <c r="AM343" s="2"/>
      <c r="AN343" s="3"/>
      <c r="AO343" s="3"/>
      <c r="AP343" s="3"/>
      <c r="AQ343" s="3"/>
    </row>
    <row r="344" spans="1:43" ht="15.75" customHeight="1">
      <c r="A344" s="52"/>
      <c r="B344" s="5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101"/>
      <c r="AI344" s="101"/>
      <c r="AJ344" s="112"/>
      <c r="AK344" s="3"/>
      <c r="AL344" s="1"/>
      <c r="AM344" s="2"/>
      <c r="AN344" s="3"/>
      <c r="AO344" s="3"/>
      <c r="AP344" s="3"/>
      <c r="AQ344" s="3"/>
    </row>
    <row r="345" spans="1:43" ht="15.75" customHeight="1">
      <c r="A345" s="52"/>
      <c r="B345" s="5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101"/>
      <c r="AI345" s="101"/>
      <c r="AJ345" s="112"/>
      <c r="AK345" s="3"/>
      <c r="AL345" s="1"/>
      <c r="AM345" s="2"/>
      <c r="AN345" s="3"/>
      <c r="AO345" s="3"/>
      <c r="AP345" s="3"/>
      <c r="AQ345" s="3"/>
    </row>
    <row r="346" spans="1:43" ht="15.75" customHeight="1">
      <c r="A346" s="52"/>
      <c r="B346" s="5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101"/>
      <c r="AI346" s="101"/>
      <c r="AJ346" s="112"/>
      <c r="AK346" s="3"/>
      <c r="AL346" s="1"/>
      <c r="AM346" s="2"/>
      <c r="AN346" s="3"/>
      <c r="AO346" s="3"/>
      <c r="AP346" s="3"/>
      <c r="AQ346" s="3"/>
    </row>
    <row r="347" spans="1:43" ht="15.75" customHeight="1">
      <c r="A347" s="52"/>
      <c r="B347" s="5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101"/>
      <c r="AI347" s="101"/>
      <c r="AJ347" s="112"/>
      <c r="AK347" s="3"/>
      <c r="AL347" s="1"/>
      <c r="AM347" s="2"/>
      <c r="AN347" s="3"/>
      <c r="AO347" s="3"/>
      <c r="AP347" s="3"/>
      <c r="AQ347" s="3"/>
    </row>
    <row r="348" spans="1:43" ht="15.75" customHeight="1">
      <c r="A348" s="52"/>
      <c r="B348" s="5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101"/>
      <c r="AI348" s="101"/>
      <c r="AJ348" s="112"/>
      <c r="AK348" s="3"/>
      <c r="AL348" s="1"/>
      <c r="AM348" s="2"/>
      <c r="AN348" s="3"/>
      <c r="AO348" s="3"/>
      <c r="AP348" s="3"/>
      <c r="AQ348" s="3"/>
    </row>
    <row r="349" spans="1:43" ht="15.75" customHeight="1">
      <c r="A349" s="52"/>
      <c r="B349" s="5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101"/>
      <c r="AI349" s="101"/>
      <c r="AJ349" s="112"/>
      <c r="AK349" s="3"/>
      <c r="AL349" s="1"/>
      <c r="AM349" s="2"/>
      <c r="AN349" s="3"/>
      <c r="AO349" s="3"/>
      <c r="AP349" s="3"/>
      <c r="AQ349" s="3"/>
    </row>
    <row r="350" spans="1:43" ht="15.75" customHeight="1">
      <c r="A350" s="52"/>
      <c r="B350" s="5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101"/>
      <c r="AI350" s="101"/>
      <c r="AJ350" s="112"/>
      <c r="AK350" s="3"/>
      <c r="AL350" s="1"/>
      <c r="AM350" s="2"/>
      <c r="AN350" s="3"/>
      <c r="AO350" s="3"/>
      <c r="AP350" s="3"/>
      <c r="AQ350" s="3"/>
    </row>
    <row r="351" spans="1:43" ht="15.75" customHeight="1">
      <c r="A351" s="52"/>
      <c r="B351" s="5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101"/>
      <c r="AI351" s="101"/>
      <c r="AJ351" s="112"/>
      <c r="AK351" s="3"/>
      <c r="AL351" s="1"/>
      <c r="AM351" s="2"/>
      <c r="AN351" s="3"/>
      <c r="AO351" s="3"/>
      <c r="AP351" s="3"/>
      <c r="AQ351" s="3"/>
    </row>
    <row r="352" spans="1:43" ht="15.75" customHeight="1">
      <c r="A352" s="52"/>
      <c r="B352" s="5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101"/>
      <c r="AI352" s="101"/>
      <c r="AJ352" s="112"/>
      <c r="AK352" s="3"/>
      <c r="AL352" s="1"/>
      <c r="AM352" s="2"/>
      <c r="AN352" s="3"/>
      <c r="AO352" s="3"/>
      <c r="AP352" s="3"/>
      <c r="AQ352" s="3"/>
    </row>
    <row r="353" spans="1:43" ht="15.75" customHeight="1">
      <c r="A353" s="52"/>
      <c r="B353" s="5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101"/>
      <c r="AI353" s="101"/>
      <c r="AJ353" s="112"/>
      <c r="AK353" s="3"/>
      <c r="AL353" s="1"/>
      <c r="AM353" s="2"/>
      <c r="AN353" s="3"/>
      <c r="AO353" s="3"/>
      <c r="AP353" s="3"/>
      <c r="AQ353" s="3"/>
    </row>
    <row r="354" spans="1:43" ht="15.75" customHeight="1">
      <c r="A354" s="52"/>
      <c r="B354" s="5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101"/>
      <c r="AI354" s="101"/>
      <c r="AJ354" s="112"/>
      <c r="AK354" s="3"/>
      <c r="AL354" s="1"/>
      <c r="AM354" s="2"/>
      <c r="AN354" s="3"/>
      <c r="AO354" s="3"/>
      <c r="AP354" s="3"/>
      <c r="AQ354" s="3"/>
    </row>
    <row r="355" spans="1:43" ht="15.75" customHeight="1">
      <c r="A355" s="52"/>
      <c r="B355" s="5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101"/>
      <c r="AI355" s="101"/>
      <c r="AJ355" s="112"/>
      <c r="AK355" s="3"/>
      <c r="AL355" s="1"/>
      <c r="AM355" s="2"/>
      <c r="AN355" s="3"/>
      <c r="AO355" s="3"/>
      <c r="AP355" s="3"/>
      <c r="AQ355" s="3"/>
    </row>
    <row r="356" spans="1:43" ht="15.75" customHeight="1">
      <c r="A356" s="52"/>
      <c r="B356" s="5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101"/>
      <c r="AI356" s="101"/>
      <c r="AJ356" s="112"/>
      <c r="AK356" s="3"/>
      <c r="AL356" s="1"/>
      <c r="AM356" s="2"/>
      <c r="AN356" s="3"/>
      <c r="AO356" s="3"/>
      <c r="AP356" s="3"/>
      <c r="AQ356" s="3"/>
    </row>
    <row r="357" spans="1:43" ht="15.75" customHeight="1">
      <c r="A357" s="52"/>
      <c r="B357" s="5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101"/>
      <c r="AI357" s="101"/>
      <c r="AJ357" s="112"/>
      <c r="AK357" s="3"/>
      <c r="AL357" s="1"/>
      <c r="AM357" s="2"/>
      <c r="AN357" s="3"/>
      <c r="AO357" s="3"/>
      <c r="AP357" s="3"/>
      <c r="AQ357" s="3"/>
    </row>
    <row r="358" spans="1:43" ht="15.75" customHeight="1">
      <c r="A358" s="52"/>
      <c r="B358" s="5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101"/>
      <c r="AI358" s="101"/>
      <c r="AJ358" s="112"/>
      <c r="AK358" s="3"/>
      <c r="AL358" s="1"/>
      <c r="AM358" s="2"/>
      <c r="AN358" s="3"/>
      <c r="AO358" s="3"/>
      <c r="AP358" s="3"/>
      <c r="AQ358" s="3"/>
    </row>
    <row r="359" spans="1:43" ht="15.75" customHeight="1">
      <c r="A359" s="52"/>
      <c r="B359" s="5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101"/>
      <c r="AI359" s="101"/>
      <c r="AJ359" s="112"/>
      <c r="AK359" s="3"/>
      <c r="AL359" s="1"/>
      <c r="AM359" s="2"/>
      <c r="AN359" s="3"/>
      <c r="AO359" s="3"/>
      <c r="AP359" s="3"/>
      <c r="AQ359" s="3"/>
    </row>
    <row r="360" spans="1:43" ht="15.75" customHeight="1">
      <c r="A360" s="52"/>
      <c r="B360" s="5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101"/>
      <c r="AI360" s="101"/>
      <c r="AJ360" s="112"/>
      <c r="AK360" s="3"/>
      <c r="AL360" s="1"/>
      <c r="AM360" s="2"/>
      <c r="AN360" s="3"/>
      <c r="AO360" s="3"/>
      <c r="AP360" s="3"/>
      <c r="AQ360" s="3"/>
    </row>
    <row r="361" spans="1:43" ht="15.75" customHeight="1">
      <c r="A361" s="52"/>
      <c r="B361" s="5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101"/>
      <c r="AI361" s="101"/>
      <c r="AJ361" s="112"/>
      <c r="AK361" s="3"/>
      <c r="AL361" s="1"/>
      <c r="AM361" s="2"/>
      <c r="AN361" s="3"/>
      <c r="AO361" s="3"/>
      <c r="AP361" s="3"/>
      <c r="AQ361" s="3"/>
    </row>
    <row r="362" spans="1:43" ht="15.75" customHeight="1">
      <c r="A362" s="52"/>
      <c r="B362" s="5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101"/>
      <c r="AI362" s="101"/>
      <c r="AJ362" s="112"/>
      <c r="AK362" s="3"/>
      <c r="AL362" s="1"/>
      <c r="AM362" s="2"/>
      <c r="AN362" s="3"/>
      <c r="AO362" s="3"/>
      <c r="AP362" s="3"/>
      <c r="AQ362" s="3"/>
    </row>
    <row r="363" spans="1:43" ht="15.75" customHeight="1">
      <c r="A363" s="52"/>
      <c r="B363" s="5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101"/>
      <c r="AI363" s="101"/>
      <c r="AJ363" s="112"/>
      <c r="AK363" s="3"/>
      <c r="AL363" s="1"/>
      <c r="AM363" s="2"/>
      <c r="AN363" s="3"/>
      <c r="AO363" s="3"/>
      <c r="AP363" s="3"/>
      <c r="AQ363" s="3"/>
    </row>
    <row r="364" spans="1:43" ht="15.75" customHeight="1">
      <c r="A364" s="52"/>
      <c r="B364" s="5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101"/>
      <c r="AI364" s="101"/>
      <c r="AJ364" s="112"/>
      <c r="AK364" s="3"/>
      <c r="AL364" s="1"/>
      <c r="AM364" s="2"/>
      <c r="AN364" s="3"/>
      <c r="AO364" s="3"/>
      <c r="AP364" s="3"/>
      <c r="AQ364" s="3"/>
    </row>
    <row r="365" spans="1:43" ht="15.75" customHeight="1">
      <c r="A365" s="52"/>
      <c r="B365" s="5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101"/>
      <c r="AI365" s="101"/>
      <c r="AJ365" s="112"/>
      <c r="AK365" s="3"/>
      <c r="AL365" s="1"/>
      <c r="AM365" s="2"/>
      <c r="AN365" s="3"/>
      <c r="AO365" s="3"/>
      <c r="AP365" s="3"/>
      <c r="AQ365" s="3"/>
    </row>
    <row r="366" spans="1:43" ht="15.75" customHeight="1">
      <c r="A366" s="52"/>
      <c r="B366" s="5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101"/>
      <c r="AI366" s="101"/>
      <c r="AJ366" s="112"/>
      <c r="AK366" s="3"/>
      <c r="AL366" s="1"/>
      <c r="AM366" s="2"/>
      <c r="AN366" s="3"/>
      <c r="AO366" s="3"/>
      <c r="AP366" s="3"/>
      <c r="AQ366" s="3"/>
    </row>
    <row r="367" spans="1:43" ht="15.75" customHeight="1">
      <c r="A367" s="52"/>
      <c r="B367" s="5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101"/>
      <c r="AI367" s="101"/>
      <c r="AJ367" s="112"/>
      <c r="AK367" s="3"/>
      <c r="AL367" s="1"/>
      <c r="AM367" s="2"/>
      <c r="AN367" s="3"/>
      <c r="AO367" s="3"/>
      <c r="AP367" s="3"/>
      <c r="AQ367" s="3"/>
    </row>
    <row r="368" spans="1:43" ht="15.75" customHeight="1">
      <c r="A368" s="52"/>
      <c r="B368" s="5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101"/>
      <c r="AI368" s="101"/>
      <c r="AJ368" s="112"/>
      <c r="AK368" s="3"/>
      <c r="AL368" s="1"/>
      <c r="AM368" s="2"/>
      <c r="AN368" s="3"/>
      <c r="AO368" s="3"/>
      <c r="AP368" s="3"/>
      <c r="AQ368" s="3"/>
    </row>
    <row r="369" spans="1:43" ht="15.75" customHeight="1">
      <c r="A369" s="52"/>
      <c r="B369" s="5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101"/>
      <c r="AI369" s="101"/>
      <c r="AJ369" s="112"/>
      <c r="AK369" s="3"/>
      <c r="AL369" s="1"/>
      <c r="AM369" s="2"/>
      <c r="AN369" s="3"/>
      <c r="AO369" s="3"/>
      <c r="AP369" s="3"/>
      <c r="AQ369" s="3"/>
    </row>
    <row r="370" spans="1:43" ht="15.75" customHeight="1">
      <c r="A370" s="52"/>
      <c r="B370" s="5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101"/>
      <c r="AI370" s="101"/>
      <c r="AJ370" s="112"/>
      <c r="AK370" s="3"/>
      <c r="AL370" s="1"/>
      <c r="AM370" s="2"/>
      <c r="AN370" s="3"/>
      <c r="AO370" s="3"/>
      <c r="AP370" s="3"/>
      <c r="AQ370" s="3"/>
    </row>
    <row r="371" spans="1:43" ht="15.75" customHeight="1">
      <c r="A371" s="52"/>
      <c r="B371" s="5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101"/>
      <c r="AI371" s="101"/>
      <c r="AJ371" s="112"/>
      <c r="AK371" s="3"/>
      <c r="AL371" s="1"/>
      <c r="AM371" s="2"/>
      <c r="AN371" s="3"/>
      <c r="AO371" s="3"/>
      <c r="AP371" s="3"/>
      <c r="AQ371" s="3"/>
    </row>
    <row r="372" spans="1:43" ht="15.75" customHeight="1">
      <c r="A372" s="52"/>
      <c r="B372" s="5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101"/>
      <c r="AI372" s="101"/>
      <c r="AJ372" s="112"/>
      <c r="AK372" s="3"/>
      <c r="AL372" s="1"/>
      <c r="AM372" s="2"/>
      <c r="AN372" s="3"/>
      <c r="AO372" s="3"/>
      <c r="AP372" s="3"/>
      <c r="AQ372" s="3"/>
    </row>
    <row r="373" spans="1:43" ht="15.75" customHeight="1">
      <c r="A373" s="52"/>
      <c r="B373" s="5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101"/>
      <c r="AI373" s="101"/>
      <c r="AJ373" s="112"/>
      <c r="AK373" s="3"/>
      <c r="AL373" s="1"/>
      <c r="AM373" s="2"/>
      <c r="AN373" s="3"/>
      <c r="AO373" s="3"/>
      <c r="AP373" s="3"/>
      <c r="AQ373" s="3"/>
    </row>
    <row r="374" spans="1:43" ht="15.75" customHeight="1">
      <c r="A374" s="52"/>
      <c r="B374" s="5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101"/>
      <c r="AI374" s="101"/>
      <c r="AJ374" s="112"/>
      <c r="AK374" s="3"/>
      <c r="AL374" s="1"/>
      <c r="AM374" s="2"/>
      <c r="AN374" s="3"/>
      <c r="AO374" s="3"/>
      <c r="AP374" s="3"/>
      <c r="AQ374" s="3"/>
    </row>
    <row r="375" spans="1:43" ht="15.75" customHeight="1">
      <c r="A375" s="52"/>
      <c r="B375" s="5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101"/>
      <c r="AI375" s="101"/>
      <c r="AJ375" s="112"/>
      <c r="AK375" s="3"/>
      <c r="AL375" s="1"/>
      <c r="AM375" s="2"/>
      <c r="AN375" s="3"/>
      <c r="AO375" s="3"/>
      <c r="AP375" s="3"/>
      <c r="AQ375" s="3"/>
    </row>
    <row r="376" spans="1:43" ht="15.75" customHeight="1">
      <c r="A376" s="52"/>
      <c r="B376" s="5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101"/>
      <c r="AI376" s="101"/>
      <c r="AJ376" s="112"/>
      <c r="AK376" s="3"/>
      <c r="AL376" s="1"/>
      <c r="AM376" s="2"/>
      <c r="AN376" s="3"/>
      <c r="AO376" s="3"/>
      <c r="AP376" s="3"/>
      <c r="AQ376" s="3"/>
    </row>
    <row r="377" spans="1:43" ht="15.75" customHeight="1">
      <c r="A377" s="52"/>
      <c r="B377" s="5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101"/>
      <c r="AI377" s="101"/>
      <c r="AJ377" s="112"/>
      <c r="AK377" s="3"/>
      <c r="AL377" s="1"/>
      <c r="AM377" s="2"/>
      <c r="AN377" s="3"/>
      <c r="AO377" s="3"/>
      <c r="AP377" s="3"/>
      <c r="AQ377" s="3"/>
    </row>
    <row r="378" spans="1:43" ht="15.75" customHeight="1">
      <c r="A378" s="52"/>
      <c r="B378" s="5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101"/>
      <c r="AI378" s="101"/>
      <c r="AJ378" s="112"/>
      <c r="AK378" s="3"/>
      <c r="AL378" s="1"/>
      <c r="AM378" s="2"/>
      <c r="AN378" s="3"/>
      <c r="AO378" s="3"/>
      <c r="AP378" s="3"/>
      <c r="AQ378" s="3"/>
    </row>
    <row r="379" spans="1:43" ht="15.75" customHeight="1">
      <c r="A379" s="52"/>
      <c r="B379" s="5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101"/>
      <c r="AI379" s="101"/>
      <c r="AJ379" s="112"/>
      <c r="AK379" s="3"/>
      <c r="AL379" s="1"/>
      <c r="AM379" s="2"/>
      <c r="AN379" s="3"/>
      <c r="AO379" s="3"/>
      <c r="AP379" s="3"/>
      <c r="AQ379" s="3"/>
    </row>
    <row r="380" spans="1:43" ht="15.75" customHeight="1">
      <c r="A380" s="52"/>
      <c r="B380" s="5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101"/>
      <c r="AI380" s="101"/>
      <c r="AJ380" s="112"/>
      <c r="AK380" s="3"/>
      <c r="AL380" s="1"/>
      <c r="AM380" s="2"/>
      <c r="AN380" s="3"/>
      <c r="AO380" s="3"/>
      <c r="AP380" s="3"/>
      <c r="AQ380" s="3"/>
    </row>
    <row r="381" spans="1:43" ht="15.75" customHeight="1">
      <c r="A381" s="52"/>
      <c r="B381" s="5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101"/>
      <c r="AI381" s="101"/>
      <c r="AJ381" s="112"/>
      <c r="AK381" s="3"/>
      <c r="AL381" s="1"/>
      <c r="AM381" s="2"/>
      <c r="AN381" s="3"/>
      <c r="AO381" s="3"/>
      <c r="AP381" s="3"/>
      <c r="AQ381" s="3"/>
    </row>
    <row r="382" spans="1:43" ht="15.75" customHeight="1">
      <c r="A382" s="52"/>
      <c r="B382" s="5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101"/>
      <c r="AI382" s="101"/>
      <c r="AJ382" s="112"/>
      <c r="AK382" s="3"/>
      <c r="AL382" s="1"/>
      <c r="AM382" s="2"/>
      <c r="AN382" s="3"/>
      <c r="AO382" s="3"/>
      <c r="AP382" s="3"/>
      <c r="AQ382" s="3"/>
    </row>
    <row r="383" spans="1:43" ht="15.75" customHeight="1">
      <c r="A383" s="52"/>
      <c r="B383" s="5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101"/>
      <c r="AI383" s="101"/>
      <c r="AJ383" s="112"/>
      <c r="AK383" s="3"/>
      <c r="AL383" s="1"/>
      <c r="AM383" s="2"/>
      <c r="AN383" s="3"/>
      <c r="AO383" s="3"/>
      <c r="AP383" s="3"/>
      <c r="AQ383" s="3"/>
    </row>
    <row r="384" spans="1:43" ht="15.75" customHeight="1">
      <c r="A384" s="52"/>
      <c r="B384" s="5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101"/>
      <c r="AI384" s="101"/>
      <c r="AJ384" s="112"/>
      <c r="AK384" s="3"/>
      <c r="AL384" s="1"/>
      <c r="AM384" s="2"/>
      <c r="AN384" s="3"/>
      <c r="AO384" s="3"/>
      <c r="AP384" s="3"/>
      <c r="AQ384" s="3"/>
    </row>
    <row r="385" spans="1:43" ht="15.75" customHeight="1">
      <c r="A385" s="52"/>
      <c r="B385" s="5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101"/>
      <c r="AI385" s="101"/>
      <c r="AJ385" s="112"/>
      <c r="AK385" s="3"/>
      <c r="AL385" s="1"/>
      <c r="AM385" s="2"/>
      <c r="AN385" s="3"/>
      <c r="AO385" s="3"/>
      <c r="AP385" s="3"/>
      <c r="AQ385" s="3"/>
    </row>
    <row r="386" spans="1:43" ht="15.75" customHeight="1">
      <c r="A386" s="52"/>
      <c r="B386" s="5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101"/>
      <c r="AI386" s="101"/>
      <c r="AJ386" s="112"/>
      <c r="AK386" s="3"/>
      <c r="AL386" s="1"/>
      <c r="AM386" s="2"/>
      <c r="AN386" s="3"/>
      <c r="AO386" s="3"/>
      <c r="AP386" s="3"/>
      <c r="AQ386" s="3"/>
    </row>
    <row r="387" spans="1:43" ht="15.75" customHeight="1">
      <c r="A387" s="52"/>
      <c r="B387" s="5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101"/>
      <c r="AI387" s="101"/>
      <c r="AJ387" s="112"/>
      <c r="AK387" s="3"/>
      <c r="AL387" s="1"/>
      <c r="AM387" s="2"/>
      <c r="AN387" s="3"/>
      <c r="AO387" s="3"/>
      <c r="AP387" s="3"/>
      <c r="AQ387" s="3"/>
    </row>
    <row r="388" spans="1:43" ht="15.75" customHeight="1">
      <c r="A388" s="52"/>
      <c r="B388" s="5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101"/>
      <c r="AI388" s="101"/>
      <c r="AJ388" s="112"/>
      <c r="AK388" s="3"/>
      <c r="AL388" s="1"/>
      <c r="AM388" s="2"/>
      <c r="AN388" s="3"/>
      <c r="AO388" s="3"/>
      <c r="AP388" s="3"/>
      <c r="AQ388" s="3"/>
    </row>
    <row r="389" spans="1:43" ht="15.75" customHeight="1">
      <c r="A389" s="52"/>
      <c r="B389" s="5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101"/>
      <c r="AI389" s="101"/>
      <c r="AJ389" s="112"/>
      <c r="AK389" s="3"/>
      <c r="AL389" s="1"/>
      <c r="AM389" s="2"/>
      <c r="AN389" s="3"/>
      <c r="AO389" s="3"/>
      <c r="AP389" s="3"/>
      <c r="AQ389" s="3"/>
    </row>
    <row r="390" spans="1:43" ht="15.75" customHeight="1">
      <c r="A390" s="52"/>
      <c r="B390" s="5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101"/>
      <c r="AI390" s="101"/>
      <c r="AJ390" s="112"/>
      <c r="AK390" s="3"/>
      <c r="AL390" s="1"/>
      <c r="AM390" s="2"/>
      <c r="AN390" s="3"/>
      <c r="AO390" s="3"/>
      <c r="AP390" s="3"/>
      <c r="AQ390" s="3"/>
    </row>
    <row r="391" spans="1:43" ht="15.75" customHeight="1">
      <c r="A391" s="52"/>
      <c r="B391" s="5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101"/>
      <c r="AI391" s="101"/>
      <c r="AJ391" s="112"/>
      <c r="AK391" s="3"/>
      <c r="AL391" s="1"/>
      <c r="AM391" s="2"/>
      <c r="AN391" s="3"/>
      <c r="AO391" s="3"/>
      <c r="AP391" s="3"/>
      <c r="AQ391" s="3"/>
    </row>
    <row r="392" spans="1:43" ht="15.75" customHeight="1">
      <c r="A392" s="52"/>
      <c r="B392" s="5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101"/>
      <c r="AI392" s="101"/>
      <c r="AJ392" s="112"/>
      <c r="AK392" s="3"/>
      <c r="AL392" s="1"/>
      <c r="AM392" s="2"/>
      <c r="AN392" s="3"/>
      <c r="AO392" s="3"/>
      <c r="AP392" s="3"/>
      <c r="AQ392" s="3"/>
    </row>
    <row r="393" spans="1:43" ht="15.75" customHeight="1">
      <c r="A393" s="52"/>
      <c r="B393" s="5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101"/>
      <c r="AI393" s="101"/>
      <c r="AJ393" s="112"/>
      <c r="AK393" s="3"/>
      <c r="AL393" s="1"/>
      <c r="AM393" s="2"/>
      <c r="AN393" s="3"/>
      <c r="AO393" s="3"/>
      <c r="AP393" s="3"/>
      <c r="AQ393" s="3"/>
    </row>
    <row r="394" spans="1:43" ht="15.75" customHeight="1">
      <c r="A394" s="52"/>
      <c r="B394" s="5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101"/>
      <c r="AI394" s="101"/>
      <c r="AJ394" s="112"/>
      <c r="AK394" s="3"/>
      <c r="AL394" s="1"/>
      <c r="AM394" s="2"/>
      <c r="AN394" s="3"/>
      <c r="AO394" s="3"/>
      <c r="AP394" s="3"/>
      <c r="AQ394" s="3"/>
    </row>
    <row r="395" spans="1:43" ht="15.75" customHeight="1">
      <c r="A395" s="52"/>
      <c r="B395" s="5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101"/>
      <c r="AI395" s="101"/>
      <c r="AJ395" s="112"/>
      <c r="AK395" s="3"/>
      <c r="AL395" s="1"/>
      <c r="AM395" s="2"/>
      <c r="AN395" s="3"/>
      <c r="AO395" s="3"/>
      <c r="AP395" s="3"/>
      <c r="AQ395" s="3"/>
    </row>
    <row r="396" spans="1:43" ht="15.75" customHeight="1">
      <c r="A396" s="52"/>
      <c r="B396" s="5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101"/>
      <c r="AI396" s="101"/>
      <c r="AJ396" s="112"/>
      <c r="AK396" s="3"/>
      <c r="AL396" s="1"/>
      <c r="AM396" s="2"/>
      <c r="AN396" s="3"/>
      <c r="AO396" s="3"/>
      <c r="AP396" s="3"/>
      <c r="AQ396" s="3"/>
    </row>
    <row r="397" spans="1:43" ht="15.75" customHeight="1">
      <c r="A397" s="52"/>
      <c r="B397" s="5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101"/>
      <c r="AI397" s="101"/>
      <c r="AJ397" s="112"/>
      <c r="AK397" s="3"/>
      <c r="AL397" s="1"/>
      <c r="AM397" s="2"/>
      <c r="AN397" s="3"/>
      <c r="AO397" s="3"/>
      <c r="AP397" s="3"/>
      <c r="AQ397" s="3"/>
    </row>
    <row r="398" spans="1:43" ht="15.75" customHeight="1">
      <c r="A398" s="52"/>
      <c r="B398" s="5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101"/>
      <c r="AI398" s="101"/>
      <c r="AJ398" s="112"/>
      <c r="AK398" s="3"/>
      <c r="AL398" s="1"/>
      <c r="AM398" s="2"/>
      <c r="AN398" s="3"/>
      <c r="AO398" s="3"/>
      <c r="AP398" s="3"/>
      <c r="AQ398" s="3"/>
    </row>
    <row r="399" spans="1:43" ht="15.75" customHeight="1">
      <c r="A399" s="52"/>
      <c r="B399" s="5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101"/>
      <c r="AI399" s="101"/>
      <c r="AJ399" s="112"/>
      <c r="AK399" s="3"/>
      <c r="AL399" s="1"/>
      <c r="AM399" s="2"/>
      <c r="AN399" s="3"/>
      <c r="AO399" s="3"/>
      <c r="AP399" s="3"/>
      <c r="AQ399" s="3"/>
    </row>
    <row r="400" spans="1:43" ht="15.75" customHeight="1">
      <c r="A400" s="52"/>
      <c r="B400" s="5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101"/>
      <c r="AI400" s="101"/>
      <c r="AJ400" s="112"/>
      <c r="AK400" s="3"/>
      <c r="AL400" s="1"/>
      <c r="AM400" s="2"/>
      <c r="AN400" s="3"/>
      <c r="AO400" s="3"/>
      <c r="AP400" s="3"/>
      <c r="AQ400" s="3"/>
    </row>
    <row r="401" spans="1:43" ht="15.75" customHeight="1">
      <c r="A401" s="52"/>
      <c r="B401" s="5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101"/>
      <c r="AI401" s="101"/>
      <c r="AJ401" s="112"/>
      <c r="AK401" s="3"/>
      <c r="AL401" s="1"/>
      <c r="AM401" s="2"/>
      <c r="AN401" s="3"/>
      <c r="AO401" s="3"/>
      <c r="AP401" s="3"/>
      <c r="AQ401" s="3"/>
    </row>
    <row r="402" spans="1:43" ht="15.75" customHeight="1">
      <c r="A402" s="52"/>
      <c r="B402" s="5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101"/>
      <c r="AI402" s="101"/>
      <c r="AJ402" s="112"/>
      <c r="AK402" s="3"/>
      <c r="AL402" s="1"/>
      <c r="AM402" s="2"/>
      <c r="AN402" s="3"/>
      <c r="AO402" s="3"/>
      <c r="AP402" s="3"/>
      <c r="AQ402" s="3"/>
    </row>
    <row r="403" spans="1:43" ht="15.75" customHeight="1">
      <c r="A403" s="52"/>
      <c r="B403" s="5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101"/>
      <c r="AI403" s="101"/>
      <c r="AJ403" s="112"/>
      <c r="AK403" s="3"/>
      <c r="AL403" s="1"/>
      <c r="AM403" s="2"/>
      <c r="AN403" s="3"/>
      <c r="AO403" s="3"/>
      <c r="AP403" s="3"/>
      <c r="AQ403" s="3"/>
    </row>
    <row r="404" spans="1:43" ht="15.75" customHeight="1">
      <c r="A404" s="52"/>
      <c r="B404" s="5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101"/>
      <c r="AI404" s="101"/>
      <c r="AJ404" s="112"/>
      <c r="AK404" s="3"/>
      <c r="AL404" s="1"/>
      <c r="AM404" s="2"/>
      <c r="AN404" s="3"/>
      <c r="AO404" s="3"/>
      <c r="AP404" s="3"/>
      <c r="AQ404" s="3"/>
    </row>
    <row r="405" spans="1:43" ht="15.75" customHeight="1">
      <c r="A405" s="52"/>
      <c r="B405" s="5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101"/>
      <c r="AI405" s="101"/>
      <c r="AJ405" s="112"/>
      <c r="AK405" s="3"/>
      <c r="AL405" s="1"/>
      <c r="AM405" s="2"/>
      <c r="AN405" s="3"/>
      <c r="AO405" s="3"/>
      <c r="AP405" s="3"/>
      <c r="AQ405" s="3"/>
    </row>
    <row r="406" spans="1:43" ht="15.75" customHeight="1">
      <c r="A406" s="52"/>
      <c r="B406" s="5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101"/>
      <c r="AI406" s="101"/>
      <c r="AJ406" s="112"/>
      <c r="AK406" s="3"/>
      <c r="AL406" s="1"/>
      <c r="AM406" s="2"/>
      <c r="AN406" s="3"/>
      <c r="AO406" s="3"/>
      <c r="AP406" s="3"/>
      <c r="AQ406" s="3"/>
    </row>
    <row r="407" spans="1:43" ht="15.75" customHeight="1">
      <c r="A407" s="52"/>
      <c r="B407" s="5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101"/>
      <c r="AI407" s="101"/>
      <c r="AJ407" s="112"/>
      <c r="AK407" s="3"/>
      <c r="AL407" s="1"/>
      <c r="AM407" s="2"/>
      <c r="AN407" s="3"/>
      <c r="AO407" s="3"/>
      <c r="AP407" s="3"/>
      <c r="AQ407" s="3"/>
    </row>
    <row r="408" spans="1:43" ht="15.75" customHeight="1">
      <c r="A408" s="52"/>
      <c r="B408" s="5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101"/>
      <c r="AI408" s="101"/>
      <c r="AJ408" s="112"/>
      <c r="AK408" s="3"/>
      <c r="AL408" s="1"/>
      <c r="AM408" s="2"/>
      <c r="AN408" s="3"/>
      <c r="AO408" s="3"/>
      <c r="AP408" s="3"/>
      <c r="AQ408" s="3"/>
    </row>
    <row r="409" spans="1:43" ht="15.75" customHeight="1">
      <c r="A409" s="52"/>
      <c r="B409" s="5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101"/>
      <c r="AI409" s="101"/>
      <c r="AJ409" s="112"/>
      <c r="AK409" s="3"/>
      <c r="AL409" s="1"/>
      <c r="AM409" s="2"/>
      <c r="AN409" s="3"/>
      <c r="AO409" s="3"/>
      <c r="AP409" s="3"/>
      <c r="AQ409" s="3"/>
    </row>
    <row r="410" spans="1:43" ht="15.75" customHeight="1">
      <c r="A410" s="52"/>
      <c r="B410" s="5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101"/>
      <c r="AI410" s="101"/>
      <c r="AJ410" s="112"/>
      <c r="AK410" s="3"/>
      <c r="AL410" s="1"/>
      <c r="AM410" s="2"/>
      <c r="AN410" s="3"/>
      <c r="AO410" s="3"/>
      <c r="AP410" s="3"/>
      <c r="AQ410" s="3"/>
    </row>
    <row r="411" spans="1:43" ht="15.75" customHeight="1">
      <c r="A411" s="52"/>
      <c r="B411" s="5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101"/>
      <c r="AI411" s="101"/>
      <c r="AJ411" s="112"/>
      <c r="AK411" s="3"/>
      <c r="AL411" s="1"/>
      <c r="AM411" s="2"/>
      <c r="AN411" s="3"/>
      <c r="AO411" s="3"/>
      <c r="AP411" s="3"/>
      <c r="AQ411" s="3"/>
    </row>
    <row r="412" spans="1:43" ht="15.75" customHeight="1">
      <c r="A412" s="52"/>
      <c r="B412" s="5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101"/>
      <c r="AI412" s="101"/>
      <c r="AJ412" s="112"/>
      <c r="AK412" s="3"/>
      <c r="AL412" s="1"/>
      <c r="AM412" s="2"/>
      <c r="AN412" s="3"/>
      <c r="AO412" s="3"/>
      <c r="AP412" s="3"/>
      <c r="AQ412" s="3"/>
    </row>
    <row r="413" spans="1:43" ht="15.75" customHeight="1">
      <c r="A413" s="52"/>
      <c r="B413" s="5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101"/>
      <c r="AI413" s="101"/>
      <c r="AJ413" s="112"/>
      <c r="AK413" s="3"/>
      <c r="AL413" s="1"/>
      <c r="AM413" s="2"/>
      <c r="AN413" s="3"/>
      <c r="AO413" s="3"/>
      <c r="AP413" s="3"/>
      <c r="AQ413" s="3"/>
    </row>
    <row r="414" spans="1:43" ht="15.75" customHeight="1">
      <c r="A414" s="52"/>
      <c r="B414" s="5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101"/>
      <c r="AI414" s="101"/>
      <c r="AJ414" s="112"/>
      <c r="AK414" s="3"/>
      <c r="AL414" s="1"/>
      <c r="AM414" s="2"/>
      <c r="AN414" s="3"/>
      <c r="AO414" s="3"/>
      <c r="AP414" s="3"/>
      <c r="AQ414" s="3"/>
    </row>
    <row r="415" spans="1:43" ht="15.75" customHeight="1">
      <c r="A415" s="52"/>
      <c r="B415" s="5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101"/>
      <c r="AI415" s="101"/>
      <c r="AJ415" s="112"/>
      <c r="AK415" s="3"/>
      <c r="AL415" s="1"/>
      <c r="AM415" s="2"/>
      <c r="AN415" s="3"/>
      <c r="AO415" s="3"/>
      <c r="AP415" s="3"/>
      <c r="AQ415" s="3"/>
    </row>
    <row r="416" spans="1:43" ht="15.75" customHeight="1">
      <c r="A416" s="52"/>
      <c r="B416" s="5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101"/>
      <c r="AI416" s="101"/>
      <c r="AJ416" s="112"/>
      <c r="AK416" s="3"/>
      <c r="AL416" s="1"/>
      <c r="AM416" s="2"/>
      <c r="AN416" s="3"/>
      <c r="AO416" s="3"/>
      <c r="AP416" s="3"/>
      <c r="AQ416" s="3"/>
    </row>
    <row r="417" spans="1:43" ht="15.75" customHeight="1">
      <c r="A417" s="52"/>
      <c r="B417" s="5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101"/>
      <c r="AI417" s="101"/>
      <c r="AJ417" s="112"/>
      <c r="AK417" s="3"/>
      <c r="AL417" s="1"/>
      <c r="AM417" s="2"/>
      <c r="AN417" s="3"/>
      <c r="AO417" s="3"/>
      <c r="AP417" s="3"/>
      <c r="AQ417" s="3"/>
    </row>
    <row r="418" spans="1:43" ht="15.75" customHeight="1">
      <c r="A418" s="52"/>
      <c r="B418" s="5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101"/>
      <c r="AI418" s="101"/>
      <c r="AJ418" s="112"/>
      <c r="AK418" s="3"/>
      <c r="AL418" s="1"/>
      <c r="AM418" s="2"/>
      <c r="AN418" s="3"/>
      <c r="AO418" s="3"/>
      <c r="AP418" s="3"/>
      <c r="AQ418" s="3"/>
    </row>
    <row r="419" spans="1:43" ht="15.75" customHeight="1">
      <c r="A419" s="52"/>
      <c r="B419" s="5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101"/>
      <c r="AI419" s="101"/>
      <c r="AJ419" s="112"/>
      <c r="AK419" s="3"/>
      <c r="AL419" s="1"/>
      <c r="AM419" s="2"/>
      <c r="AN419" s="3"/>
      <c r="AO419" s="3"/>
      <c r="AP419" s="3"/>
      <c r="AQ419" s="3"/>
    </row>
    <row r="420" spans="1:43" ht="15.75" customHeight="1">
      <c r="A420" s="52"/>
      <c r="B420" s="5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101"/>
      <c r="AI420" s="101"/>
      <c r="AJ420" s="112"/>
      <c r="AK420" s="3"/>
      <c r="AL420" s="1"/>
      <c r="AM420" s="2"/>
      <c r="AN420" s="3"/>
      <c r="AO420" s="3"/>
      <c r="AP420" s="3"/>
      <c r="AQ420" s="3"/>
    </row>
    <row r="421" spans="1:43" ht="15.75" customHeight="1">
      <c r="A421" s="52"/>
      <c r="B421" s="5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101"/>
      <c r="AI421" s="101"/>
      <c r="AJ421" s="112"/>
      <c r="AK421" s="3"/>
      <c r="AL421" s="1"/>
      <c r="AM421" s="2"/>
      <c r="AN421" s="3"/>
      <c r="AO421" s="3"/>
      <c r="AP421" s="3"/>
      <c r="AQ421" s="3"/>
    </row>
    <row r="422" spans="1:43" ht="15.75" customHeight="1">
      <c r="A422" s="52"/>
      <c r="B422" s="5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101"/>
      <c r="AI422" s="101"/>
      <c r="AJ422" s="112"/>
      <c r="AK422" s="3"/>
      <c r="AL422" s="1"/>
      <c r="AM422" s="2"/>
      <c r="AN422" s="3"/>
      <c r="AO422" s="3"/>
      <c r="AP422" s="3"/>
      <c r="AQ422" s="3"/>
    </row>
    <row r="423" spans="1:43" ht="15.75" customHeight="1">
      <c r="A423" s="52"/>
      <c r="B423" s="5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101"/>
      <c r="AI423" s="101"/>
      <c r="AJ423" s="112"/>
      <c r="AK423" s="3"/>
      <c r="AL423" s="1"/>
      <c r="AM423" s="2"/>
      <c r="AN423" s="3"/>
      <c r="AO423" s="3"/>
      <c r="AP423" s="3"/>
      <c r="AQ423" s="3"/>
    </row>
    <row r="424" spans="1:43" ht="15.75" customHeight="1">
      <c r="A424" s="52"/>
      <c r="B424" s="5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101"/>
      <c r="AI424" s="101"/>
      <c r="AJ424" s="112"/>
      <c r="AK424" s="3"/>
      <c r="AL424" s="1"/>
      <c r="AM424" s="2"/>
      <c r="AN424" s="3"/>
      <c r="AO424" s="3"/>
      <c r="AP424" s="3"/>
      <c r="AQ424" s="3"/>
    </row>
    <row r="425" spans="1:43" ht="15.75" customHeight="1">
      <c r="A425" s="52"/>
      <c r="B425" s="5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101"/>
      <c r="AI425" s="101"/>
      <c r="AJ425" s="112"/>
      <c r="AK425" s="3"/>
      <c r="AL425" s="1"/>
      <c r="AM425" s="2"/>
      <c r="AN425" s="3"/>
      <c r="AO425" s="3"/>
      <c r="AP425" s="3"/>
      <c r="AQ425" s="3"/>
    </row>
    <row r="426" spans="1:43" ht="15.75" customHeight="1">
      <c r="A426" s="52"/>
      <c r="B426" s="5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101"/>
      <c r="AI426" s="101"/>
      <c r="AJ426" s="112"/>
      <c r="AK426" s="3"/>
      <c r="AL426" s="1"/>
      <c r="AM426" s="2"/>
      <c r="AN426" s="3"/>
      <c r="AO426" s="3"/>
      <c r="AP426" s="3"/>
      <c r="AQ426" s="3"/>
    </row>
    <row r="427" spans="1:43" ht="15.75" customHeight="1">
      <c r="A427" s="52"/>
      <c r="B427" s="5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101"/>
      <c r="AI427" s="101"/>
      <c r="AJ427" s="112"/>
      <c r="AK427" s="3"/>
      <c r="AL427" s="1"/>
      <c r="AM427" s="2"/>
      <c r="AN427" s="3"/>
      <c r="AO427" s="3"/>
      <c r="AP427" s="3"/>
      <c r="AQ427" s="3"/>
    </row>
    <row r="428" spans="1:43" ht="15.75" customHeight="1">
      <c r="A428" s="52"/>
      <c r="B428" s="5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101"/>
      <c r="AI428" s="101"/>
      <c r="AJ428" s="112"/>
      <c r="AK428" s="3"/>
      <c r="AL428" s="1"/>
      <c r="AM428" s="2"/>
      <c r="AN428" s="3"/>
      <c r="AO428" s="3"/>
      <c r="AP428" s="3"/>
      <c r="AQ428" s="3"/>
    </row>
    <row r="429" spans="1:43" ht="15.75" customHeight="1">
      <c r="A429" s="52"/>
      <c r="B429" s="5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101"/>
      <c r="AI429" s="101"/>
      <c r="AJ429" s="112"/>
      <c r="AK429" s="3"/>
      <c r="AL429" s="1"/>
      <c r="AM429" s="2"/>
      <c r="AN429" s="3"/>
      <c r="AO429" s="3"/>
      <c r="AP429" s="3"/>
      <c r="AQ429" s="3"/>
    </row>
    <row r="430" spans="1:43" ht="15.75" customHeight="1">
      <c r="A430" s="52"/>
      <c r="B430" s="5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101"/>
      <c r="AI430" s="101"/>
      <c r="AJ430" s="112"/>
      <c r="AK430" s="3"/>
      <c r="AL430" s="1"/>
      <c r="AM430" s="2"/>
      <c r="AN430" s="3"/>
      <c r="AO430" s="3"/>
      <c r="AP430" s="3"/>
      <c r="AQ430" s="3"/>
    </row>
    <row r="431" spans="1:43" ht="15.75" customHeight="1">
      <c r="A431" s="52"/>
      <c r="B431" s="5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101"/>
      <c r="AI431" s="101"/>
      <c r="AJ431" s="112"/>
      <c r="AK431" s="3"/>
      <c r="AL431" s="1"/>
      <c r="AM431" s="2"/>
      <c r="AN431" s="3"/>
      <c r="AO431" s="3"/>
      <c r="AP431" s="3"/>
      <c r="AQ431" s="3"/>
    </row>
    <row r="432" spans="1:43" ht="15.75" customHeight="1">
      <c r="A432" s="52"/>
      <c r="B432" s="5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101"/>
      <c r="AI432" s="101"/>
      <c r="AJ432" s="112"/>
      <c r="AK432" s="3"/>
      <c r="AL432" s="1"/>
      <c r="AM432" s="2"/>
      <c r="AN432" s="3"/>
      <c r="AO432" s="3"/>
      <c r="AP432" s="3"/>
      <c r="AQ432" s="3"/>
    </row>
    <row r="433" spans="1:43" ht="15.75" customHeight="1">
      <c r="A433" s="52"/>
      <c r="B433" s="5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101"/>
      <c r="AI433" s="101"/>
      <c r="AJ433" s="112"/>
      <c r="AK433" s="3"/>
      <c r="AL433" s="1"/>
      <c r="AM433" s="2"/>
      <c r="AN433" s="3"/>
      <c r="AO433" s="3"/>
      <c r="AP433" s="3"/>
      <c r="AQ433" s="3"/>
    </row>
    <row r="434" spans="1:43" ht="15.75" customHeight="1">
      <c r="A434" s="52"/>
      <c r="B434" s="5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101"/>
      <c r="AI434" s="101"/>
      <c r="AJ434" s="112"/>
      <c r="AK434" s="3"/>
      <c r="AL434" s="1"/>
      <c r="AM434" s="2"/>
      <c r="AN434" s="3"/>
      <c r="AO434" s="3"/>
      <c r="AP434" s="3"/>
      <c r="AQ434" s="3"/>
    </row>
    <row r="435" spans="1:43" ht="15.75" customHeight="1">
      <c r="A435" s="52"/>
      <c r="B435" s="5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101"/>
      <c r="AI435" s="101"/>
      <c r="AJ435" s="112"/>
      <c r="AK435" s="3"/>
      <c r="AL435" s="1"/>
      <c r="AM435" s="2"/>
      <c r="AN435" s="3"/>
      <c r="AO435" s="3"/>
      <c r="AP435" s="3"/>
      <c r="AQ435" s="3"/>
    </row>
    <row r="436" spans="1:43" ht="15.75" customHeight="1">
      <c r="A436" s="52"/>
      <c r="B436" s="5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101"/>
      <c r="AI436" s="101"/>
      <c r="AJ436" s="112"/>
      <c r="AK436" s="3"/>
      <c r="AL436" s="1"/>
      <c r="AM436" s="2"/>
      <c r="AN436" s="3"/>
      <c r="AO436" s="3"/>
      <c r="AP436" s="3"/>
      <c r="AQ436" s="3"/>
    </row>
    <row r="437" spans="1:43" ht="15.75" customHeight="1">
      <c r="A437" s="52"/>
      <c r="B437" s="5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101"/>
      <c r="AI437" s="101"/>
      <c r="AJ437" s="112"/>
      <c r="AK437" s="3"/>
      <c r="AL437" s="1"/>
      <c r="AM437" s="2"/>
      <c r="AN437" s="3"/>
      <c r="AO437" s="3"/>
      <c r="AP437" s="3"/>
      <c r="AQ437" s="3"/>
    </row>
    <row r="438" spans="1:43" ht="15.75" customHeight="1">
      <c r="A438" s="52"/>
      <c r="B438" s="5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101"/>
      <c r="AI438" s="101"/>
      <c r="AJ438" s="112"/>
      <c r="AK438" s="3"/>
      <c r="AL438" s="1"/>
      <c r="AM438" s="2"/>
      <c r="AN438" s="3"/>
      <c r="AO438" s="3"/>
      <c r="AP438" s="3"/>
      <c r="AQ438" s="3"/>
    </row>
    <row r="439" spans="1:43" ht="15.75" customHeight="1">
      <c r="A439" s="52"/>
      <c r="B439" s="5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101"/>
      <c r="AI439" s="101"/>
      <c r="AJ439" s="112"/>
      <c r="AK439" s="3"/>
      <c r="AL439" s="1"/>
      <c r="AM439" s="2"/>
      <c r="AN439" s="3"/>
      <c r="AO439" s="3"/>
      <c r="AP439" s="3"/>
      <c r="AQ439" s="3"/>
    </row>
    <row r="440" spans="1:43" ht="15.75" customHeight="1">
      <c r="A440" s="52"/>
      <c r="B440" s="5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101"/>
      <c r="AI440" s="101"/>
      <c r="AJ440" s="112"/>
      <c r="AK440" s="3"/>
      <c r="AL440" s="1"/>
      <c r="AM440" s="2"/>
      <c r="AN440" s="3"/>
      <c r="AO440" s="3"/>
      <c r="AP440" s="3"/>
      <c r="AQ440" s="3"/>
    </row>
    <row r="441" spans="1:43" ht="15.75" customHeight="1">
      <c r="A441" s="52"/>
      <c r="B441" s="5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101"/>
      <c r="AI441" s="101"/>
      <c r="AJ441" s="112"/>
      <c r="AK441" s="3"/>
      <c r="AL441" s="1"/>
      <c r="AM441" s="2"/>
      <c r="AN441" s="3"/>
      <c r="AO441" s="3"/>
      <c r="AP441" s="3"/>
      <c r="AQ441" s="3"/>
    </row>
    <row r="442" spans="1:43" ht="15.75" customHeight="1">
      <c r="A442" s="52"/>
      <c r="B442" s="5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101"/>
      <c r="AI442" s="101"/>
      <c r="AJ442" s="112"/>
      <c r="AK442" s="3"/>
      <c r="AL442" s="1"/>
      <c r="AM442" s="2"/>
      <c r="AN442" s="3"/>
      <c r="AO442" s="3"/>
      <c r="AP442" s="3"/>
      <c r="AQ442" s="3"/>
    </row>
    <row r="443" spans="1:43" ht="15.75" customHeight="1">
      <c r="A443" s="52"/>
      <c r="B443" s="5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101"/>
      <c r="AI443" s="101"/>
      <c r="AJ443" s="112"/>
      <c r="AK443" s="3"/>
      <c r="AL443" s="1"/>
      <c r="AM443" s="2"/>
      <c r="AN443" s="3"/>
      <c r="AO443" s="3"/>
      <c r="AP443" s="3"/>
      <c r="AQ443" s="3"/>
    </row>
    <row r="444" spans="1:43" ht="15.75" customHeight="1">
      <c r="A444" s="52"/>
      <c r="B444" s="5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101"/>
      <c r="AI444" s="101"/>
      <c r="AJ444" s="112"/>
      <c r="AK444" s="3"/>
      <c r="AL444" s="1"/>
      <c r="AM444" s="2"/>
      <c r="AN444" s="3"/>
      <c r="AO444" s="3"/>
      <c r="AP444" s="3"/>
      <c r="AQ444" s="3"/>
    </row>
    <row r="445" spans="1:43" ht="15.75" customHeight="1">
      <c r="A445" s="52"/>
      <c r="B445" s="5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101"/>
      <c r="AI445" s="101"/>
      <c r="AJ445" s="112"/>
      <c r="AK445" s="3"/>
      <c r="AL445" s="1"/>
      <c r="AM445" s="2"/>
      <c r="AN445" s="3"/>
      <c r="AO445" s="3"/>
      <c r="AP445" s="3"/>
      <c r="AQ445" s="3"/>
    </row>
    <row r="446" spans="1:43" ht="15.75" customHeight="1">
      <c r="A446" s="52"/>
      <c r="B446" s="5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101"/>
      <c r="AI446" s="101"/>
      <c r="AJ446" s="112"/>
      <c r="AK446" s="3"/>
      <c r="AL446" s="1"/>
      <c r="AM446" s="2"/>
      <c r="AN446" s="3"/>
      <c r="AO446" s="3"/>
      <c r="AP446" s="3"/>
      <c r="AQ446" s="3"/>
    </row>
    <row r="447" spans="1:43" ht="15.75" customHeight="1">
      <c r="A447" s="52"/>
      <c r="B447" s="5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101"/>
      <c r="AI447" s="101"/>
      <c r="AJ447" s="112"/>
      <c r="AK447" s="3"/>
      <c r="AL447" s="1"/>
      <c r="AM447" s="2"/>
      <c r="AN447" s="3"/>
      <c r="AO447" s="3"/>
      <c r="AP447" s="3"/>
      <c r="AQ447" s="3"/>
    </row>
    <row r="448" spans="1:43" ht="15.75" customHeight="1">
      <c r="A448" s="52"/>
      <c r="B448" s="5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101"/>
      <c r="AI448" s="101"/>
      <c r="AJ448" s="112"/>
      <c r="AK448" s="3"/>
      <c r="AL448" s="1"/>
      <c r="AM448" s="2"/>
      <c r="AN448" s="3"/>
      <c r="AO448" s="3"/>
      <c r="AP448" s="3"/>
      <c r="AQ448" s="3"/>
    </row>
    <row r="449" spans="1:43" ht="15.75" customHeight="1">
      <c r="A449" s="52"/>
      <c r="B449" s="5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101"/>
      <c r="AI449" s="101"/>
      <c r="AJ449" s="112"/>
      <c r="AK449" s="3"/>
      <c r="AL449" s="1"/>
      <c r="AM449" s="2"/>
      <c r="AN449" s="3"/>
      <c r="AO449" s="3"/>
      <c r="AP449" s="3"/>
      <c r="AQ449" s="3"/>
    </row>
    <row r="450" spans="1:43" ht="15.75" customHeight="1">
      <c r="A450" s="52"/>
      <c r="B450" s="5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101"/>
      <c r="AI450" s="101"/>
      <c r="AJ450" s="112"/>
      <c r="AK450" s="3"/>
      <c r="AL450" s="1"/>
      <c r="AM450" s="2"/>
      <c r="AN450" s="3"/>
      <c r="AO450" s="3"/>
      <c r="AP450" s="3"/>
      <c r="AQ450" s="3"/>
    </row>
    <row r="451" spans="1:43" ht="15.75" customHeight="1">
      <c r="A451" s="52"/>
      <c r="B451" s="5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101"/>
      <c r="AI451" s="101"/>
      <c r="AJ451" s="112"/>
      <c r="AK451" s="3"/>
      <c r="AL451" s="1"/>
      <c r="AM451" s="2"/>
      <c r="AN451" s="3"/>
      <c r="AO451" s="3"/>
      <c r="AP451" s="3"/>
      <c r="AQ451" s="3"/>
    </row>
    <row r="452" spans="1:43" ht="15.75" customHeight="1">
      <c r="A452" s="52"/>
      <c r="B452" s="5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101"/>
      <c r="AI452" s="101"/>
      <c r="AJ452" s="112"/>
      <c r="AK452" s="3"/>
      <c r="AL452" s="1"/>
      <c r="AM452" s="2"/>
      <c r="AN452" s="3"/>
      <c r="AO452" s="3"/>
      <c r="AP452" s="3"/>
      <c r="AQ452" s="3"/>
    </row>
    <row r="453" spans="1:43" ht="15.75" customHeight="1">
      <c r="A453" s="52"/>
      <c r="B453" s="5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101"/>
      <c r="AI453" s="101"/>
      <c r="AJ453" s="112"/>
      <c r="AK453" s="3"/>
      <c r="AL453" s="1"/>
      <c r="AM453" s="2"/>
      <c r="AN453" s="3"/>
      <c r="AO453" s="3"/>
      <c r="AP453" s="3"/>
      <c r="AQ453" s="3"/>
    </row>
    <row r="454" spans="1:43" ht="15.75" customHeight="1">
      <c r="A454" s="52"/>
      <c r="B454" s="5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101"/>
      <c r="AI454" s="101"/>
      <c r="AJ454" s="112"/>
      <c r="AK454" s="3"/>
      <c r="AL454" s="1"/>
      <c r="AM454" s="2"/>
      <c r="AN454" s="3"/>
      <c r="AO454" s="3"/>
      <c r="AP454" s="3"/>
      <c r="AQ454" s="3"/>
    </row>
    <row r="455" spans="1:43" ht="15.75" customHeight="1">
      <c r="A455" s="52"/>
      <c r="B455" s="5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101"/>
      <c r="AI455" s="101"/>
      <c r="AJ455" s="112"/>
      <c r="AK455" s="3"/>
      <c r="AL455" s="1"/>
      <c r="AM455" s="2"/>
      <c r="AN455" s="3"/>
      <c r="AO455" s="3"/>
      <c r="AP455" s="3"/>
      <c r="AQ455" s="3"/>
    </row>
    <row r="456" spans="1:43" ht="15.75" customHeight="1">
      <c r="A456" s="52"/>
      <c r="B456" s="5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101"/>
      <c r="AI456" s="101"/>
      <c r="AJ456" s="112"/>
      <c r="AK456" s="3"/>
      <c r="AL456" s="1"/>
      <c r="AM456" s="2"/>
      <c r="AN456" s="3"/>
      <c r="AO456" s="3"/>
      <c r="AP456" s="3"/>
      <c r="AQ456" s="3"/>
    </row>
    <row r="457" spans="1:43" ht="15.75" customHeight="1">
      <c r="A457" s="52"/>
      <c r="B457" s="5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101"/>
      <c r="AI457" s="101"/>
      <c r="AJ457" s="112"/>
      <c r="AK457" s="3"/>
      <c r="AL457" s="1"/>
      <c r="AM457" s="2"/>
      <c r="AN457" s="3"/>
      <c r="AO457" s="3"/>
      <c r="AP457" s="3"/>
      <c r="AQ457" s="3"/>
    </row>
    <row r="458" spans="1:43" ht="15.75" customHeight="1">
      <c r="A458" s="52"/>
      <c r="B458" s="5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101"/>
      <c r="AI458" s="101"/>
      <c r="AJ458" s="112"/>
      <c r="AK458" s="3"/>
      <c r="AL458" s="1"/>
      <c r="AM458" s="2"/>
      <c r="AN458" s="3"/>
      <c r="AO458" s="3"/>
      <c r="AP458" s="3"/>
      <c r="AQ458" s="3"/>
    </row>
    <row r="459" spans="1:43" ht="15.75" customHeight="1">
      <c r="A459" s="52"/>
      <c r="B459" s="5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101"/>
      <c r="AI459" s="101"/>
      <c r="AJ459" s="112"/>
      <c r="AK459" s="3"/>
      <c r="AL459" s="1"/>
      <c r="AM459" s="2"/>
      <c r="AN459" s="3"/>
      <c r="AO459" s="3"/>
      <c r="AP459" s="3"/>
      <c r="AQ459" s="3"/>
    </row>
    <row r="460" spans="1:43" ht="15.75" customHeight="1">
      <c r="A460" s="52"/>
      <c r="B460" s="5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101"/>
      <c r="AI460" s="101"/>
      <c r="AJ460" s="112"/>
      <c r="AK460" s="3"/>
      <c r="AL460" s="1"/>
      <c r="AM460" s="2"/>
      <c r="AN460" s="3"/>
      <c r="AO460" s="3"/>
      <c r="AP460" s="3"/>
      <c r="AQ460" s="3"/>
    </row>
    <row r="461" spans="1:43" ht="15.75" customHeight="1">
      <c r="A461" s="52"/>
      <c r="B461" s="5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101"/>
      <c r="AI461" s="101"/>
      <c r="AJ461" s="112"/>
      <c r="AK461" s="3"/>
      <c r="AL461" s="1"/>
      <c r="AM461" s="2"/>
      <c r="AN461" s="3"/>
      <c r="AO461" s="3"/>
      <c r="AP461" s="3"/>
      <c r="AQ461" s="3"/>
    </row>
    <row r="462" spans="1:43" ht="15.75" customHeight="1">
      <c r="A462" s="52"/>
      <c r="B462" s="5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101"/>
      <c r="AI462" s="101"/>
      <c r="AJ462" s="112"/>
      <c r="AK462" s="3"/>
      <c r="AL462" s="1"/>
      <c r="AM462" s="2"/>
      <c r="AN462" s="3"/>
      <c r="AO462" s="3"/>
      <c r="AP462" s="3"/>
      <c r="AQ462" s="3"/>
    </row>
    <row r="463" spans="1:43" ht="15.75" customHeight="1">
      <c r="A463" s="52"/>
      <c r="B463" s="5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101"/>
      <c r="AI463" s="101"/>
      <c r="AJ463" s="112"/>
      <c r="AK463" s="3"/>
      <c r="AL463" s="1"/>
      <c r="AM463" s="2"/>
      <c r="AN463" s="3"/>
      <c r="AO463" s="3"/>
      <c r="AP463" s="3"/>
      <c r="AQ463" s="3"/>
    </row>
    <row r="464" spans="1:43" ht="15.75" customHeight="1">
      <c r="A464" s="52"/>
      <c r="B464" s="5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101"/>
      <c r="AI464" s="101"/>
      <c r="AJ464" s="112"/>
      <c r="AK464" s="3"/>
      <c r="AL464" s="1"/>
      <c r="AM464" s="2"/>
      <c r="AN464" s="3"/>
      <c r="AO464" s="3"/>
      <c r="AP464" s="3"/>
      <c r="AQ464" s="3"/>
    </row>
    <row r="465" spans="1:43" ht="15.75" customHeight="1">
      <c r="A465" s="52"/>
      <c r="B465" s="5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101"/>
      <c r="AI465" s="101"/>
      <c r="AJ465" s="112"/>
      <c r="AK465" s="3"/>
      <c r="AL465" s="1"/>
      <c r="AM465" s="2"/>
      <c r="AN465" s="3"/>
      <c r="AO465" s="3"/>
      <c r="AP465" s="3"/>
      <c r="AQ465" s="3"/>
    </row>
    <row r="466" spans="1:43" ht="15.75" customHeight="1">
      <c r="A466" s="52"/>
      <c r="B466" s="5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101"/>
      <c r="AI466" s="101"/>
      <c r="AJ466" s="112"/>
      <c r="AK466" s="3"/>
      <c r="AL466" s="1"/>
      <c r="AM466" s="2"/>
      <c r="AN466" s="3"/>
      <c r="AO466" s="3"/>
      <c r="AP466" s="3"/>
      <c r="AQ466" s="3"/>
    </row>
    <row r="467" spans="1:43" ht="15.75" customHeight="1">
      <c r="A467" s="52"/>
      <c r="B467" s="5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101"/>
      <c r="AI467" s="101"/>
      <c r="AJ467" s="112"/>
      <c r="AK467" s="3"/>
      <c r="AL467" s="1"/>
      <c r="AM467" s="2"/>
      <c r="AN467" s="3"/>
      <c r="AO467" s="3"/>
      <c r="AP467" s="3"/>
      <c r="AQ467" s="3"/>
    </row>
    <row r="468" spans="1:43" ht="15.75" customHeight="1">
      <c r="A468" s="52"/>
      <c r="B468" s="5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101"/>
      <c r="AI468" s="101"/>
      <c r="AJ468" s="112"/>
      <c r="AK468" s="3"/>
      <c r="AL468" s="1"/>
      <c r="AM468" s="2"/>
      <c r="AN468" s="3"/>
      <c r="AO468" s="3"/>
      <c r="AP468" s="3"/>
      <c r="AQ468" s="3"/>
    </row>
    <row r="469" spans="1:43" ht="15.75" customHeight="1">
      <c r="A469" s="52"/>
      <c r="B469" s="5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101"/>
      <c r="AI469" s="101"/>
      <c r="AJ469" s="112"/>
      <c r="AK469" s="3"/>
      <c r="AL469" s="1"/>
      <c r="AM469" s="2"/>
      <c r="AN469" s="3"/>
      <c r="AO469" s="3"/>
      <c r="AP469" s="3"/>
      <c r="AQ469" s="3"/>
    </row>
    <row r="470" spans="1:43" ht="15.75" customHeight="1">
      <c r="A470" s="52"/>
      <c r="B470" s="5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101"/>
      <c r="AI470" s="101"/>
      <c r="AJ470" s="112"/>
      <c r="AK470" s="3"/>
      <c r="AL470" s="1"/>
      <c r="AM470" s="2"/>
      <c r="AN470" s="3"/>
      <c r="AO470" s="3"/>
      <c r="AP470" s="3"/>
      <c r="AQ470" s="3"/>
    </row>
    <row r="471" spans="1:43" ht="15.75" customHeight="1">
      <c r="A471" s="52"/>
      <c r="B471" s="5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101"/>
      <c r="AI471" s="101"/>
      <c r="AJ471" s="112"/>
      <c r="AK471" s="3"/>
      <c r="AL471" s="1"/>
      <c r="AM471" s="2"/>
      <c r="AN471" s="3"/>
      <c r="AO471" s="3"/>
      <c r="AP471" s="3"/>
      <c r="AQ471" s="3"/>
    </row>
    <row r="472" spans="1:43" ht="15.75" customHeight="1">
      <c r="A472" s="52"/>
      <c r="B472" s="5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101"/>
      <c r="AI472" s="101"/>
      <c r="AJ472" s="112"/>
      <c r="AK472" s="3"/>
      <c r="AL472" s="1"/>
      <c r="AM472" s="2"/>
      <c r="AN472" s="3"/>
      <c r="AO472" s="3"/>
      <c r="AP472" s="3"/>
      <c r="AQ472" s="3"/>
    </row>
    <row r="473" spans="1:43" ht="15.75" customHeight="1">
      <c r="A473" s="52"/>
      <c r="B473" s="5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101"/>
      <c r="AI473" s="101"/>
      <c r="AJ473" s="112"/>
      <c r="AK473" s="3"/>
      <c r="AL473" s="1"/>
      <c r="AM473" s="2"/>
      <c r="AN473" s="3"/>
      <c r="AO473" s="3"/>
      <c r="AP473" s="3"/>
      <c r="AQ473" s="3"/>
    </row>
    <row r="474" spans="1:43" ht="15.75" customHeight="1">
      <c r="A474" s="52"/>
      <c r="B474" s="5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101"/>
      <c r="AI474" s="101"/>
      <c r="AJ474" s="112"/>
      <c r="AK474" s="3"/>
      <c r="AL474" s="1"/>
      <c r="AM474" s="2"/>
      <c r="AN474" s="3"/>
      <c r="AO474" s="3"/>
      <c r="AP474" s="3"/>
      <c r="AQ474" s="3"/>
    </row>
    <row r="475" spans="1:43" ht="15.75" customHeight="1">
      <c r="A475" s="52"/>
      <c r="B475" s="5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101"/>
      <c r="AI475" s="101"/>
      <c r="AJ475" s="112"/>
      <c r="AK475" s="3"/>
      <c r="AL475" s="1"/>
      <c r="AM475" s="2"/>
      <c r="AN475" s="3"/>
      <c r="AO475" s="3"/>
      <c r="AP475" s="3"/>
      <c r="AQ475" s="3"/>
    </row>
    <row r="476" spans="1:43" ht="15.75" customHeight="1">
      <c r="A476" s="52"/>
      <c r="B476" s="5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101"/>
      <c r="AI476" s="101"/>
      <c r="AJ476" s="112"/>
      <c r="AK476" s="3"/>
      <c r="AL476" s="1"/>
      <c r="AM476" s="2"/>
      <c r="AN476" s="3"/>
      <c r="AO476" s="3"/>
      <c r="AP476" s="3"/>
      <c r="AQ476" s="3"/>
    </row>
    <row r="477" spans="1:43" ht="15.75" customHeight="1">
      <c r="A477" s="52"/>
      <c r="B477" s="5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101"/>
      <c r="AI477" s="101"/>
      <c r="AJ477" s="112"/>
      <c r="AK477" s="3"/>
      <c r="AL477" s="1"/>
      <c r="AM477" s="2"/>
      <c r="AN477" s="3"/>
      <c r="AO477" s="3"/>
      <c r="AP477" s="3"/>
      <c r="AQ477" s="3"/>
    </row>
    <row r="478" spans="1:43" ht="15.75" customHeight="1">
      <c r="A478" s="52"/>
      <c r="B478" s="5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101"/>
      <c r="AI478" s="101"/>
      <c r="AJ478" s="112"/>
      <c r="AK478" s="3"/>
      <c r="AL478" s="1"/>
      <c r="AM478" s="2"/>
      <c r="AN478" s="3"/>
      <c r="AO478" s="3"/>
      <c r="AP478" s="3"/>
      <c r="AQ478" s="3"/>
    </row>
    <row r="479" spans="1:43" ht="15.75" customHeight="1">
      <c r="A479" s="52"/>
      <c r="B479" s="5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101"/>
      <c r="AI479" s="101"/>
      <c r="AJ479" s="112"/>
      <c r="AK479" s="3"/>
      <c r="AL479" s="1"/>
      <c r="AM479" s="2"/>
      <c r="AN479" s="3"/>
      <c r="AO479" s="3"/>
      <c r="AP479" s="3"/>
      <c r="AQ479" s="3"/>
    </row>
    <row r="480" spans="1:43" ht="15.75" customHeight="1">
      <c r="A480" s="52"/>
      <c r="B480" s="5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101"/>
      <c r="AI480" s="101"/>
      <c r="AJ480" s="112"/>
      <c r="AK480" s="3"/>
      <c r="AL480" s="1"/>
      <c r="AM480" s="2"/>
      <c r="AN480" s="3"/>
      <c r="AO480" s="3"/>
      <c r="AP480" s="3"/>
      <c r="AQ480" s="3"/>
    </row>
    <row r="481" spans="1:43" ht="15.75" customHeight="1">
      <c r="A481" s="52"/>
      <c r="B481" s="5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101"/>
      <c r="AI481" s="101"/>
      <c r="AJ481" s="112"/>
      <c r="AK481" s="3"/>
      <c r="AL481" s="1"/>
      <c r="AM481" s="2"/>
      <c r="AN481" s="3"/>
      <c r="AO481" s="3"/>
      <c r="AP481" s="3"/>
      <c r="AQ481" s="3"/>
    </row>
    <row r="482" spans="1:43" ht="15.75" customHeight="1">
      <c r="A482" s="52"/>
      <c r="B482" s="5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101"/>
      <c r="AI482" s="101"/>
      <c r="AJ482" s="112"/>
      <c r="AK482" s="3"/>
      <c r="AL482" s="1"/>
      <c r="AM482" s="2"/>
      <c r="AN482" s="3"/>
      <c r="AO482" s="3"/>
      <c r="AP482" s="3"/>
      <c r="AQ482" s="3"/>
    </row>
    <row r="483" spans="1:43" ht="15.75" customHeight="1">
      <c r="A483" s="52"/>
      <c r="B483" s="5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101"/>
      <c r="AI483" s="101"/>
      <c r="AJ483" s="112"/>
      <c r="AK483" s="3"/>
      <c r="AL483" s="1"/>
      <c r="AM483" s="2"/>
      <c r="AN483" s="3"/>
      <c r="AO483" s="3"/>
      <c r="AP483" s="3"/>
      <c r="AQ483" s="3"/>
    </row>
    <row r="484" spans="1:43" ht="15.75" customHeight="1">
      <c r="A484" s="52"/>
      <c r="B484" s="5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101"/>
      <c r="AI484" s="101"/>
      <c r="AJ484" s="112"/>
      <c r="AK484" s="3"/>
      <c r="AL484" s="1"/>
      <c r="AM484" s="2"/>
      <c r="AN484" s="3"/>
      <c r="AO484" s="3"/>
      <c r="AP484" s="3"/>
      <c r="AQ484" s="3"/>
    </row>
    <row r="485" spans="1:43" ht="15.75" customHeight="1">
      <c r="A485" s="52"/>
      <c r="B485" s="5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101"/>
      <c r="AI485" s="101"/>
      <c r="AJ485" s="112"/>
      <c r="AK485" s="3"/>
      <c r="AL485" s="1"/>
      <c r="AM485" s="2"/>
      <c r="AN485" s="3"/>
      <c r="AO485" s="3"/>
      <c r="AP485" s="3"/>
      <c r="AQ485" s="3"/>
    </row>
    <row r="486" spans="1:43" ht="15.75" customHeight="1">
      <c r="A486" s="52"/>
      <c r="B486" s="5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101"/>
      <c r="AI486" s="101"/>
      <c r="AJ486" s="112"/>
      <c r="AK486" s="3"/>
      <c r="AL486" s="1"/>
      <c r="AM486" s="2"/>
      <c r="AN486" s="3"/>
      <c r="AO486" s="3"/>
      <c r="AP486" s="3"/>
      <c r="AQ486" s="3"/>
    </row>
    <row r="487" spans="1:43" ht="15.75" customHeight="1">
      <c r="A487" s="52"/>
      <c r="B487" s="5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101"/>
      <c r="AI487" s="101"/>
      <c r="AJ487" s="112"/>
      <c r="AK487" s="3"/>
      <c r="AL487" s="1"/>
      <c r="AM487" s="2"/>
      <c r="AN487" s="3"/>
      <c r="AO487" s="3"/>
      <c r="AP487" s="3"/>
      <c r="AQ487" s="3"/>
    </row>
    <row r="488" spans="1:43" ht="15.75" customHeight="1">
      <c r="A488" s="52"/>
      <c r="B488" s="5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101"/>
      <c r="AI488" s="101"/>
      <c r="AJ488" s="112"/>
      <c r="AK488" s="3"/>
      <c r="AL488" s="1"/>
      <c r="AM488" s="2"/>
      <c r="AN488" s="3"/>
      <c r="AO488" s="3"/>
      <c r="AP488" s="3"/>
      <c r="AQ488" s="3"/>
    </row>
    <row r="489" spans="1:43" ht="15.75" customHeight="1">
      <c r="A489" s="52"/>
      <c r="B489" s="5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101"/>
      <c r="AI489" s="101"/>
      <c r="AJ489" s="112"/>
      <c r="AK489" s="3"/>
      <c r="AL489" s="1"/>
      <c r="AM489" s="2"/>
      <c r="AN489" s="3"/>
      <c r="AO489" s="3"/>
      <c r="AP489" s="3"/>
      <c r="AQ489" s="3"/>
    </row>
    <row r="490" spans="1:43" ht="15.75" customHeight="1">
      <c r="A490" s="52"/>
      <c r="B490" s="5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101"/>
      <c r="AI490" s="101"/>
      <c r="AJ490" s="112"/>
      <c r="AK490" s="3"/>
      <c r="AL490" s="1"/>
      <c r="AM490" s="2"/>
      <c r="AN490" s="3"/>
      <c r="AO490" s="3"/>
      <c r="AP490" s="3"/>
      <c r="AQ490" s="3"/>
    </row>
    <row r="491" spans="1:43" ht="15.75" customHeight="1">
      <c r="A491" s="52"/>
      <c r="B491" s="5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101"/>
      <c r="AI491" s="101"/>
      <c r="AJ491" s="112"/>
      <c r="AK491" s="3"/>
      <c r="AL491" s="1"/>
      <c r="AM491" s="2"/>
      <c r="AN491" s="3"/>
      <c r="AO491" s="3"/>
      <c r="AP491" s="3"/>
      <c r="AQ491" s="3"/>
    </row>
    <row r="492" spans="1:43" ht="15.75" customHeight="1">
      <c r="A492" s="52"/>
      <c r="B492" s="5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101"/>
      <c r="AI492" s="101"/>
      <c r="AJ492" s="112"/>
      <c r="AK492" s="3"/>
      <c r="AL492" s="1"/>
      <c r="AM492" s="2"/>
      <c r="AN492" s="3"/>
      <c r="AO492" s="3"/>
      <c r="AP492" s="3"/>
      <c r="AQ492" s="3"/>
    </row>
    <row r="493" spans="1:43" ht="15.75" customHeight="1">
      <c r="A493" s="52"/>
      <c r="B493" s="5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101"/>
      <c r="AI493" s="101"/>
      <c r="AJ493" s="112"/>
      <c r="AK493" s="3"/>
      <c r="AL493" s="1"/>
      <c r="AM493" s="2"/>
      <c r="AN493" s="3"/>
      <c r="AO493" s="3"/>
      <c r="AP493" s="3"/>
      <c r="AQ493" s="3"/>
    </row>
    <row r="494" spans="1:43" ht="15.75" customHeight="1">
      <c r="A494" s="52"/>
      <c r="B494" s="5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101"/>
      <c r="AI494" s="101"/>
      <c r="AJ494" s="112"/>
      <c r="AK494" s="3"/>
      <c r="AL494" s="1"/>
      <c r="AM494" s="2"/>
      <c r="AN494" s="3"/>
      <c r="AO494" s="3"/>
      <c r="AP494" s="3"/>
      <c r="AQ494" s="3"/>
    </row>
    <row r="495" spans="1:43" ht="15.75" customHeight="1">
      <c r="A495" s="52"/>
      <c r="B495" s="5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101"/>
      <c r="AI495" s="101"/>
      <c r="AJ495" s="112"/>
      <c r="AK495" s="3"/>
      <c r="AL495" s="1"/>
      <c r="AM495" s="2"/>
      <c r="AN495" s="3"/>
      <c r="AO495" s="3"/>
      <c r="AP495" s="3"/>
      <c r="AQ495" s="3"/>
    </row>
    <row r="496" spans="1:43" ht="15.75" customHeight="1">
      <c r="A496" s="52"/>
      <c r="B496" s="5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101"/>
      <c r="AI496" s="101"/>
      <c r="AJ496" s="112"/>
      <c r="AK496" s="3"/>
      <c r="AL496" s="1"/>
      <c r="AM496" s="2"/>
      <c r="AN496" s="3"/>
      <c r="AO496" s="3"/>
      <c r="AP496" s="3"/>
      <c r="AQ496" s="3"/>
    </row>
    <row r="497" spans="1:43" ht="15.75" customHeight="1">
      <c r="A497" s="52"/>
      <c r="B497" s="5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101"/>
      <c r="AI497" s="101"/>
      <c r="AJ497" s="112"/>
      <c r="AK497" s="3"/>
      <c r="AL497" s="1"/>
      <c r="AM497" s="2"/>
      <c r="AN497" s="3"/>
      <c r="AO497" s="3"/>
      <c r="AP497" s="3"/>
      <c r="AQ497" s="3"/>
    </row>
    <row r="498" spans="1:43" ht="15.75" customHeight="1">
      <c r="A498" s="52"/>
      <c r="B498" s="5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101"/>
      <c r="AI498" s="101"/>
      <c r="AJ498" s="112"/>
      <c r="AK498" s="3"/>
      <c r="AL498" s="1"/>
      <c r="AM498" s="2"/>
      <c r="AN498" s="3"/>
      <c r="AO498" s="3"/>
      <c r="AP498" s="3"/>
      <c r="AQ498" s="3"/>
    </row>
    <row r="499" spans="1:43" ht="15.75" customHeight="1">
      <c r="A499" s="52"/>
      <c r="B499" s="5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101"/>
      <c r="AI499" s="101"/>
      <c r="AJ499" s="112"/>
      <c r="AK499" s="3"/>
      <c r="AL499" s="1"/>
      <c r="AM499" s="2"/>
      <c r="AN499" s="3"/>
      <c r="AO499" s="3"/>
      <c r="AP499" s="3"/>
      <c r="AQ499" s="3"/>
    </row>
    <row r="500" spans="1:43" ht="15.75" customHeight="1">
      <c r="A500" s="52"/>
      <c r="B500" s="5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101"/>
      <c r="AI500" s="101"/>
      <c r="AJ500" s="112"/>
      <c r="AK500" s="3"/>
      <c r="AL500" s="1"/>
      <c r="AM500" s="2"/>
      <c r="AN500" s="3"/>
      <c r="AO500" s="3"/>
      <c r="AP500" s="3"/>
      <c r="AQ500" s="3"/>
    </row>
    <row r="501" spans="1:43" ht="15.75" customHeight="1">
      <c r="A501" s="52"/>
      <c r="B501" s="5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101"/>
      <c r="AI501" s="101"/>
      <c r="AJ501" s="112"/>
      <c r="AK501" s="3"/>
      <c r="AL501" s="1"/>
      <c r="AM501" s="2"/>
      <c r="AN501" s="3"/>
      <c r="AO501" s="3"/>
      <c r="AP501" s="3"/>
      <c r="AQ501" s="3"/>
    </row>
    <row r="502" spans="1:43" ht="15.75" customHeight="1">
      <c r="A502" s="52"/>
      <c r="B502" s="5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101"/>
      <c r="AI502" s="101"/>
      <c r="AJ502" s="112"/>
      <c r="AK502" s="3"/>
      <c r="AL502" s="1"/>
      <c r="AM502" s="2"/>
      <c r="AN502" s="3"/>
      <c r="AO502" s="3"/>
      <c r="AP502" s="3"/>
      <c r="AQ502" s="3"/>
    </row>
    <row r="503" spans="1:43" ht="15.75" customHeight="1">
      <c r="A503" s="52"/>
      <c r="B503" s="5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101"/>
      <c r="AI503" s="101"/>
      <c r="AJ503" s="112"/>
      <c r="AK503" s="3"/>
      <c r="AL503" s="1"/>
      <c r="AM503" s="2"/>
      <c r="AN503" s="3"/>
      <c r="AO503" s="3"/>
      <c r="AP503" s="3"/>
      <c r="AQ503" s="3"/>
    </row>
    <row r="504" spans="1:43" ht="15.75" customHeight="1">
      <c r="A504" s="52"/>
      <c r="B504" s="5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101"/>
      <c r="AI504" s="101"/>
      <c r="AJ504" s="112"/>
      <c r="AK504" s="3"/>
      <c r="AL504" s="1"/>
      <c r="AM504" s="2"/>
      <c r="AN504" s="3"/>
      <c r="AO504" s="3"/>
      <c r="AP504" s="3"/>
      <c r="AQ504" s="3"/>
    </row>
    <row r="505" spans="1:43" ht="15.75" customHeight="1">
      <c r="A505" s="52"/>
      <c r="B505" s="5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101"/>
      <c r="AI505" s="101"/>
      <c r="AJ505" s="112"/>
      <c r="AK505" s="3"/>
      <c r="AL505" s="1"/>
      <c r="AM505" s="2"/>
      <c r="AN505" s="3"/>
      <c r="AO505" s="3"/>
      <c r="AP505" s="3"/>
      <c r="AQ505" s="3"/>
    </row>
    <row r="506" spans="1:43" ht="15.75" customHeight="1">
      <c r="A506" s="52"/>
      <c r="B506" s="5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101"/>
      <c r="AI506" s="101"/>
      <c r="AJ506" s="112"/>
      <c r="AK506" s="3"/>
      <c r="AL506" s="1"/>
      <c r="AM506" s="2"/>
      <c r="AN506" s="3"/>
      <c r="AO506" s="3"/>
      <c r="AP506" s="3"/>
      <c r="AQ506" s="3"/>
    </row>
    <row r="507" spans="1:43" ht="15.75" customHeight="1">
      <c r="A507" s="52"/>
      <c r="B507" s="5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101"/>
      <c r="AI507" s="101"/>
      <c r="AJ507" s="112"/>
      <c r="AK507" s="3"/>
      <c r="AL507" s="1"/>
      <c r="AM507" s="2"/>
      <c r="AN507" s="3"/>
      <c r="AO507" s="3"/>
      <c r="AP507" s="3"/>
      <c r="AQ507" s="3"/>
    </row>
    <row r="508" spans="1:43" ht="15.75" customHeight="1">
      <c r="A508" s="52"/>
      <c r="B508" s="5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101"/>
      <c r="AI508" s="101"/>
      <c r="AJ508" s="112"/>
      <c r="AK508" s="3"/>
      <c r="AL508" s="1"/>
      <c r="AM508" s="2"/>
      <c r="AN508" s="3"/>
      <c r="AO508" s="3"/>
      <c r="AP508" s="3"/>
      <c r="AQ508" s="3"/>
    </row>
    <row r="509" spans="1:43" ht="15.75" customHeight="1">
      <c r="A509" s="52"/>
      <c r="B509" s="5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101"/>
      <c r="AI509" s="101"/>
      <c r="AJ509" s="112"/>
      <c r="AK509" s="3"/>
      <c r="AL509" s="1"/>
      <c r="AM509" s="2"/>
      <c r="AN509" s="3"/>
      <c r="AO509" s="3"/>
      <c r="AP509" s="3"/>
      <c r="AQ509" s="3"/>
    </row>
    <row r="510" spans="1:43" ht="15.75" customHeight="1">
      <c r="A510" s="52"/>
      <c r="B510" s="5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101"/>
      <c r="AI510" s="101"/>
      <c r="AJ510" s="112"/>
      <c r="AK510" s="3"/>
      <c r="AL510" s="1"/>
      <c r="AM510" s="2"/>
      <c r="AN510" s="3"/>
      <c r="AO510" s="3"/>
      <c r="AP510" s="3"/>
      <c r="AQ510" s="3"/>
    </row>
    <row r="511" spans="1:43" ht="15.75" customHeight="1">
      <c r="A511" s="52"/>
      <c r="B511" s="5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101"/>
      <c r="AI511" s="101"/>
      <c r="AJ511" s="112"/>
      <c r="AK511" s="3"/>
      <c r="AL511" s="1"/>
      <c r="AM511" s="2"/>
      <c r="AN511" s="3"/>
      <c r="AO511" s="3"/>
      <c r="AP511" s="3"/>
      <c r="AQ511" s="3"/>
    </row>
    <row r="512" spans="1:43" ht="15.75" customHeight="1">
      <c r="A512" s="52"/>
      <c r="B512" s="5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101"/>
      <c r="AI512" s="101"/>
      <c r="AJ512" s="112"/>
      <c r="AK512" s="3"/>
      <c r="AL512" s="1"/>
      <c r="AM512" s="2"/>
      <c r="AN512" s="3"/>
      <c r="AO512" s="3"/>
      <c r="AP512" s="3"/>
      <c r="AQ512" s="3"/>
    </row>
    <row r="513" spans="1:43" ht="15.75" customHeight="1">
      <c r="A513" s="52"/>
      <c r="B513" s="5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101"/>
      <c r="AI513" s="101"/>
      <c r="AJ513" s="112"/>
      <c r="AK513" s="3"/>
      <c r="AL513" s="1"/>
      <c r="AM513" s="2"/>
      <c r="AN513" s="3"/>
      <c r="AO513" s="3"/>
      <c r="AP513" s="3"/>
      <c r="AQ513" s="3"/>
    </row>
    <row r="514" spans="1:43" ht="15.75" customHeight="1">
      <c r="A514" s="52"/>
      <c r="B514" s="5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101"/>
      <c r="AI514" s="101"/>
      <c r="AJ514" s="112"/>
      <c r="AK514" s="3"/>
      <c r="AL514" s="1"/>
      <c r="AM514" s="2"/>
      <c r="AN514" s="3"/>
      <c r="AO514" s="3"/>
      <c r="AP514" s="3"/>
      <c r="AQ514" s="3"/>
    </row>
    <row r="515" spans="1:43" ht="15.75" customHeight="1">
      <c r="A515" s="52"/>
      <c r="B515" s="5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101"/>
      <c r="AI515" s="101"/>
      <c r="AJ515" s="112"/>
      <c r="AK515" s="3"/>
      <c r="AL515" s="1"/>
      <c r="AM515" s="2"/>
      <c r="AN515" s="3"/>
      <c r="AO515" s="3"/>
      <c r="AP515" s="3"/>
      <c r="AQ515" s="3"/>
    </row>
    <row r="516" spans="1:43" ht="15.75" customHeight="1">
      <c r="A516" s="52"/>
      <c r="B516" s="5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101"/>
      <c r="AI516" s="101"/>
      <c r="AJ516" s="112"/>
      <c r="AK516" s="3"/>
      <c r="AL516" s="1"/>
      <c r="AM516" s="2"/>
      <c r="AN516" s="3"/>
      <c r="AO516" s="3"/>
      <c r="AP516" s="3"/>
      <c r="AQ516" s="3"/>
    </row>
    <row r="517" spans="1:43" ht="15.75" customHeight="1">
      <c r="A517" s="52"/>
      <c r="B517" s="5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101"/>
      <c r="AI517" s="101"/>
      <c r="AJ517" s="112"/>
      <c r="AK517" s="3"/>
      <c r="AL517" s="1"/>
      <c r="AM517" s="2"/>
      <c r="AN517" s="3"/>
      <c r="AO517" s="3"/>
      <c r="AP517" s="3"/>
      <c r="AQ517" s="3"/>
    </row>
    <row r="518" spans="1:43" ht="15.75" customHeight="1">
      <c r="A518" s="52"/>
      <c r="B518" s="5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101"/>
      <c r="AI518" s="101"/>
      <c r="AJ518" s="112"/>
      <c r="AK518" s="3"/>
      <c r="AL518" s="1"/>
      <c r="AM518" s="2"/>
      <c r="AN518" s="3"/>
      <c r="AO518" s="3"/>
      <c r="AP518" s="3"/>
      <c r="AQ518" s="3"/>
    </row>
    <row r="519" spans="1:43" ht="15.75" customHeight="1">
      <c r="A519" s="52"/>
      <c r="B519" s="5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101"/>
      <c r="AI519" s="101"/>
      <c r="AJ519" s="112"/>
      <c r="AK519" s="3"/>
      <c r="AL519" s="1"/>
      <c r="AM519" s="2"/>
      <c r="AN519" s="3"/>
      <c r="AO519" s="3"/>
      <c r="AP519" s="3"/>
      <c r="AQ519" s="3"/>
    </row>
    <row r="520" spans="1:43" ht="15.75" customHeight="1">
      <c r="A520" s="52"/>
      <c r="B520" s="5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101"/>
      <c r="AI520" s="101"/>
      <c r="AJ520" s="112"/>
      <c r="AK520" s="3"/>
      <c r="AL520" s="1"/>
      <c r="AM520" s="2"/>
      <c r="AN520" s="3"/>
      <c r="AO520" s="3"/>
      <c r="AP520" s="3"/>
      <c r="AQ520" s="3"/>
    </row>
    <row r="521" spans="1:43" ht="15.75" customHeight="1">
      <c r="A521" s="52"/>
      <c r="B521" s="5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101"/>
      <c r="AI521" s="101"/>
      <c r="AJ521" s="112"/>
      <c r="AK521" s="3"/>
      <c r="AL521" s="1"/>
      <c r="AM521" s="2"/>
      <c r="AN521" s="3"/>
      <c r="AO521" s="3"/>
      <c r="AP521" s="3"/>
      <c r="AQ521" s="3"/>
    </row>
    <row r="522" spans="1:43" ht="15.75" customHeight="1">
      <c r="A522" s="52"/>
      <c r="B522" s="5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101"/>
      <c r="AI522" s="101"/>
      <c r="AJ522" s="112"/>
      <c r="AK522" s="3"/>
      <c r="AL522" s="1"/>
      <c r="AM522" s="2"/>
      <c r="AN522" s="3"/>
      <c r="AO522" s="3"/>
      <c r="AP522" s="3"/>
      <c r="AQ522" s="3"/>
    </row>
    <row r="523" spans="1:43" ht="15.75" customHeight="1">
      <c r="A523" s="52"/>
      <c r="B523" s="5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101"/>
      <c r="AI523" s="101"/>
      <c r="AJ523" s="112"/>
      <c r="AK523" s="3"/>
      <c r="AL523" s="1"/>
      <c r="AM523" s="2"/>
      <c r="AN523" s="3"/>
      <c r="AO523" s="3"/>
      <c r="AP523" s="3"/>
      <c r="AQ523" s="3"/>
    </row>
    <row r="524" spans="1:43" ht="15.75" customHeight="1">
      <c r="A524" s="52"/>
      <c r="B524" s="5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101"/>
      <c r="AI524" s="101"/>
      <c r="AJ524" s="112"/>
      <c r="AK524" s="3"/>
      <c r="AL524" s="1"/>
      <c r="AM524" s="2"/>
      <c r="AN524" s="3"/>
      <c r="AO524" s="3"/>
      <c r="AP524" s="3"/>
      <c r="AQ524" s="3"/>
    </row>
    <row r="525" spans="1:43" ht="15.75" customHeight="1">
      <c r="A525" s="52"/>
      <c r="B525" s="5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101"/>
      <c r="AI525" s="101"/>
      <c r="AJ525" s="112"/>
      <c r="AK525" s="3"/>
      <c r="AL525" s="1"/>
      <c r="AM525" s="2"/>
      <c r="AN525" s="3"/>
      <c r="AO525" s="3"/>
      <c r="AP525" s="3"/>
      <c r="AQ525" s="3"/>
    </row>
    <row r="526" spans="1:43" ht="15.75" customHeight="1">
      <c r="A526" s="52"/>
      <c r="B526" s="5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101"/>
      <c r="AI526" s="101"/>
      <c r="AJ526" s="112"/>
      <c r="AK526" s="3"/>
      <c r="AL526" s="1"/>
      <c r="AM526" s="2"/>
      <c r="AN526" s="3"/>
      <c r="AO526" s="3"/>
      <c r="AP526" s="3"/>
      <c r="AQ526" s="3"/>
    </row>
    <row r="527" spans="1:43" ht="15.75" customHeight="1">
      <c r="A527" s="52"/>
      <c r="B527" s="5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101"/>
      <c r="AI527" s="101"/>
      <c r="AJ527" s="112"/>
      <c r="AK527" s="3"/>
      <c r="AL527" s="1"/>
      <c r="AM527" s="2"/>
      <c r="AN527" s="3"/>
      <c r="AO527" s="3"/>
      <c r="AP527" s="3"/>
      <c r="AQ527" s="3"/>
    </row>
    <row r="528" spans="1:43" ht="15.75" customHeight="1">
      <c r="A528" s="52"/>
      <c r="B528" s="5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101"/>
      <c r="AI528" s="101"/>
      <c r="AJ528" s="112"/>
      <c r="AK528" s="3"/>
      <c r="AL528" s="1"/>
      <c r="AM528" s="2"/>
      <c r="AN528" s="3"/>
      <c r="AO528" s="3"/>
      <c r="AP528" s="3"/>
      <c r="AQ528" s="3"/>
    </row>
    <row r="529" spans="1:43" ht="15.75" customHeight="1">
      <c r="A529" s="52"/>
      <c r="B529" s="5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101"/>
      <c r="AI529" s="101"/>
      <c r="AJ529" s="112"/>
      <c r="AK529" s="3"/>
      <c r="AL529" s="1"/>
      <c r="AM529" s="2"/>
      <c r="AN529" s="3"/>
      <c r="AO529" s="3"/>
      <c r="AP529" s="3"/>
      <c r="AQ529" s="3"/>
    </row>
    <row r="530" spans="1:43" ht="15.75" customHeight="1">
      <c r="A530" s="52"/>
      <c r="B530" s="5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101"/>
      <c r="AI530" s="101"/>
      <c r="AJ530" s="112"/>
      <c r="AK530" s="3"/>
      <c r="AL530" s="1"/>
      <c r="AM530" s="2"/>
      <c r="AN530" s="3"/>
      <c r="AO530" s="3"/>
      <c r="AP530" s="3"/>
      <c r="AQ530" s="3"/>
    </row>
    <row r="531" spans="1:43" ht="15.75" customHeight="1">
      <c r="A531" s="52"/>
      <c r="B531" s="5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101"/>
      <c r="AI531" s="101"/>
      <c r="AJ531" s="112"/>
      <c r="AK531" s="3"/>
      <c r="AL531" s="1"/>
      <c r="AM531" s="2"/>
      <c r="AN531" s="3"/>
      <c r="AO531" s="3"/>
      <c r="AP531" s="3"/>
      <c r="AQ531" s="3"/>
    </row>
    <row r="532" spans="1:43" ht="15.75" customHeight="1">
      <c r="A532" s="52"/>
      <c r="B532" s="5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101"/>
      <c r="AI532" s="101"/>
      <c r="AJ532" s="112"/>
      <c r="AK532" s="3"/>
      <c r="AL532" s="1"/>
      <c r="AM532" s="2"/>
      <c r="AN532" s="3"/>
      <c r="AO532" s="3"/>
      <c r="AP532" s="3"/>
      <c r="AQ532" s="3"/>
    </row>
    <row r="533" spans="1:43" ht="15.75" customHeight="1">
      <c r="A533" s="52"/>
      <c r="B533" s="5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101"/>
      <c r="AI533" s="101"/>
      <c r="AJ533" s="112"/>
      <c r="AK533" s="3"/>
      <c r="AL533" s="1"/>
      <c r="AM533" s="2"/>
      <c r="AN533" s="3"/>
      <c r="AO533" s="3"/>
      <c r="AP533" s="3"/>
      <c r="AQ533" s="3"/>
    </row>
    <row r="534" spans="1:43" ht="15.75" customHeight="1">
      <c r="A534" s="52"/>
      <c r="B534" s="5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101"/>
      <c r="AI534" s="101"/>
      <c r="AJ534" s="112"/>
      <c r="AK534" s="3"/>
      <c r="AL534" s="1"/>
      <c r="AM534" s="2"/>
      <c r="AN534" s="3"/>
      <c r="AO534" s="3"/>
      <c r="AP534" s="3"/>
      <c r="AQ534" s="3"/>
    </row>
    <row r="535" spans="1:43" ht="15.75" customHeight="1">
      <c r="A535" s="52"/>
      <c r="B535" s="5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101"/>
      <c r="AI535" s="101"/>
      <c r="AJ535" s="112"/>
      <c r="AK535" s="3"/>
      <c r="AL535" s="1"/>
      <c r="AM535" s="2"/>
      <c r="AN535" s="3"/>
      <c r="AO535" s="3"/>
      <c r="AP535" s="3"/>
      <c r="AQ535" s="3"/>
    </row>
    <row r="536" spans="1:43" ht="15.75" customHeight="1">
      <c r="A536" s="52"/>
      <c r="B536" s="5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101"/>
      <c r="AI536" s="101"/>
      <c r="AJ536" s="112"/>
      <c r="AK536" s="3"/>
      <c r="AL536" s="1"/>
      <c r="AM536" s="2"/>
      <c r="AN536" s="3"/>
      <c r="AO536" s="3"/>
      <c r="AP536" s="3"/>
      <c r="AQ536" s="3"/>
    </row>
    <row r="537" spans="1:43" ht="15.75" customHeight="1">
      <c r="A537" s="52"/>
      <c r="B537" s="5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101"/>
      <c r="AI537" s="101"/>
      <c r="AJ537" s="112"/>
      <c r="AK537" s="3"/>
      <c r="AL537" s="1"/>
      <c r="AM537" s="2"/>
      <c r="AN537" s="3"/>
      <c r="AO537" s="3"/>
      <c r="AP537" s="3"/>
      <c r="AQ537" s="3"/>
    </row>
    <row r="538" spans="1:43" ht="15.75" customHeight="1">
      <c r="A538" s="52"/>
      <c r="B538" s="5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101"/>
      <c r="AI538" s="101"/>
      <c r="AJ538" s="112"/>
      <c r="AK538" s="3"/>
      <c r="AL538" s="1"/>
      <c r="AM538" s="2"/>
      <c r="AN538" s="3"/>
      <c r="AO538" s="3"/>
      <c r="AP538" s="3"/>
      <c r="AQ538" s="3"/>
    </row>
    <row r="539" spans="1:43" ht="15.75" customHeight="1">
      <c r="A539" s="52"/>
      <c r="B539" s="5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101"/>
      <c r="AI539" s="101"/>
      <c r="AJ539" s="112"/>
      <c r="AK539" s="3"/>
      <c r="AL539" s="1"/>
      <c r="AM539" s="2"/>
      <c r="AN539" s="3"/>
      <c r="AO539" s="3"/>
      <c r="AP539" s="3"/>
      <c r="AQ539" s="3"/>
    </row>
    <row r="540" spans="1:43" ht="15.75" customHeight="1">
      <c r="A540" s="52"/>
      <c r="B540" s="5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101"/>
      <c r="AI540" s="101"/>
      <c r="AJ540" s="112"/>
      <c r="AK540" s="3"/>
      <c r="AL540" s="1"/>
      <c r="AM540" s="2"/>
      <c r="AN540" s="3"/>
      <c r="AO540" s="3"/>
      <c r="AP540" s="3"/>
      <c r="AQ540" s="3"/>
    </row>
    <row r="541" spans="1:43" ht="15.75" customHeight="1">
      <c r="A541" s="52"/>
      <c r="B541" s="5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101"/>
      <c r="AI541" s="101"/>
      <c r="AJ541" s="112"/>
      <c r="AK541" s="3"/>
      <c r="AL541" s="1"/>
      <c r="AM541" s="2"/>
      <c r="AN541" s="3"/>
      <c r="AO541" s="3"/>
      <c r="AP541" s="3"/>
      <c r="AQ541" s="3"/>
    </row>
    <row r="542" spans="1:43" ht="15.75" customHeight="1">
      <c r="A542" s="52"/>
      <c r="B542" s="5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101"/>
      <c r="AI542" s="101"/>
      <c r="AJ542" s="112"/>
      <c r="AK542" s="3"/>
      <c r="AL542" s="1"/>
      <c r="AM542" s="2"/>
      <c r="AN542" s="3"/>
      <c r="AO542" s="3"/>
      <c r="AP542" s="3"/>
      <c r="AQ542" s="3"/>
    </row>
    <row r="543" spans="1:43" ht="15.75" customHeight="1">
      <c r="A543" s="52"/>
      <c r="B543" s="5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101"/>
      <c r="AI543" s="101"/>
      <c r="AJ543" s="112"/>
      <c r="AK543" s="3"/>
      <c r="AL543" s="1"/>
      <c r="AM543" s="2"/>
      <c r="AN543" s="3"/>
      <c r="AO543" s="3"/>
      <c r="AP543" s="3"/>
      <c r="AQ543" s="3"/>
    </row>
    <row r="544" spans="1:43" ht="15.75" customHeight="1">
      <c r="A544" s="52"/>
      <c r="B544" s="5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101"/>
      <c r="AI544" s="101"/>
      <c r="AJ544" s="112"/>
      <c r="AK544" s="3"/>
      <c r="AL544" s="1"/>
      <c r="AM544" s="2"/>
      <c r="AN544" s="3"/>
      <c r="AO544" s="3"/>
      <c r="AP544" s="3"/>
      <c r="AQ544" s="3"/>
    </row>
    <row r="545" spans="1:43" ht="15.75" customHeight="1">
      <c r="A545" s="52"/>
      <c r="B545" s="5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101"/>
      <c r="AI545" s="101"/>
      <c r="AJ545" s="112"/>
      <c r="AK545" s="3"/>
      <c r="AL545" s="1"/>
      <c r="AM545" s="2"/>
      <c r="AN545" s="3"/>
      <c r="AO545" s="3"/>
      <c r="AP545" s="3"/>
      <c r="AQ545" s="3"/>
    </row>
    <row r="546" spans="1:43" ht="15.75" customHeight="1">
      <c r="A546" s="52"/>
      <c r="B546" s="5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101"/>
      <c r="AI546" s="101"/>
      <c r="AJ546" s="112"/>
      <c r="AK546" s="3"/>
      <c r="AL546" s="1"/>
      <c r="AM546" s="2"/>
      <c r="AN546" s="3"/>
      <c r="AO546" s="3"/>
      <c r="AP546" s="3"/>
      <c r="AQ546" s="3"/>
    </row>
    <row r="547" spans="1:43" ht="15.75" customHeight="1">
      <c r="A547" s="52"/>
      <c r="B547" s="5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101"/>
      <c r="AI547" s="101"/>
      <c r="AJ547" s="112"/>
      <c r="AK547" s="3"/>
      <c r="AL547" s="1"/>
      <c r="AM547" s="2"/>
      <c r="AN547" s="3"/>
      <c r="AO547" s="3"/>
      <c r="AP547" s="3"/>
      <c r="AQ547" s="3"/>
    </row>
    <row r="548" spans="1:43" ht="15.75" customHeight="1">
      <c r="A548" s="52"/>
      <c r="B548" s="5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101"/>
      <c r="AI548" s="101"/>
      <c r="AJ548" s="112"/>
      <c r="AK548" s="3"/>
      <c r="AL548" s="1"/>
      <c r="AM548" s="2"/>
      <c r="AN548" s="3"/>
      <c r="AO548" s="3"/>
      <c r="AP548" s="3"/>
      <c r="AQ548" s="3"/>
    </row>
    <row r="549" spans="1:43" ht="15.75" customHeight="1">
      <c r="A549" s="52"/>
      <c r="B549" s="5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101"/>
      <c r="AI549" s="101"/>
      <c r="AJ549" s="112"/>
      <c r="AK549" s="3"/>
      <c r="AL549" s="1"/>
      <c r="AM549" s="2"/>
      <c r="AN549" s="3"/>
      <c r="AO549" s="3"/>
      <c r="AP549" s="3"/>
      <c r="AQ549" s="3"/>
    </row>
    <row r="550" spans="1:43" ht="15.75" customHeight="1">
      <c r="A550" s="52"/>
      <c r="B550" s="5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101"/>
      <c r="AI550" s="101"/>
      <c r="AJ550" s="112"/>
      <c r="AK550" s="3"/>
      <c r="AL550" s="1"/>
      <c r="AM550" s="2"/>
      <c r="AN550" s="3"/>
      <c r="AO550" s="3"/>
      <c r="AP550" s="3"/>
      <c r="AQ550" s="3"/>
    </row>
    <row r="551" spans="1:43" ht="15.75" customHeight="1">
      <c r="A551" s="52"/>
      <c r="B551" s="5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101"/>
      <c r="AI551" s="101"/>
      <c r="AJ551" s="112"/>
      <c r="AK551" s="3"/>
      <c r="AL551" s="1"/>
      <c r="AM551" s="2"/>
      <c r="AN551" s="3"/>
      <c r="AO551" s="3"/>
      <c r="AP551" s="3"/>
      <c r="AQ551" s="3"/>
    </row>
    <row r="552" spans="1:43" ht="15.75" customHeight="1">
      <c r="A552" s="52"/>
      <c r="B552" s="5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101"/>
      <c r="AI552" s="101"/>
      <c r="AJ552" s="112"/>
      <c r="AK552" s="3"/>
      <c r="AL552" s="1"/>
      <c r="AM552" s="2"/>
      <c r="AN552" s="3"/>
      <c r="AO552" s="3"/>
      <c r="AP552" s="3"/>
      <c r="AQ552" s="3"/>
    </row>
    <row r="553" spans="1:43" ht="15.75" customHeight="1">
      <c r="A553" s="52"/>
      <c r="B553" s="5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101"/>
      <c r="AI553" s="101"/>
      <c r="AJ553" s="112"/>
      <c r="AK553" s="3"/>
      <c r="AL553" s="1"/>
      <c r="AM553" s="2"/>
      <c r="AN553" s="3"/>
      <c r="AO553" s="3"/>
      <c r="AP553" s="3"/>
      <c r="AQ553" s="3"/>
    </row>
    <row r="554" spans="1:43" ht="15.75" customHeight="1">
      <c r="A554" s="52"/>
      <c r="B554" s="5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101"/>
      <c r="AI554" s="101"/>
      <c r="AJ554" s="112"/>
      <c r="AK554" s="3"/>
      <c r="AL554" s="1"/>
      <c r="AM554" s="2"/>
      <c r="AN554" s="3"/>
      <c r="AO554" s="3"/>
      <c r="AP554" s="3"/>
      <c r="AQ554" s="3"/>
    </row>
    <row r="555" spans="1:43" ht="15.75" customHeight="1">
      <c r="A555" s="52"/>
      <c r="B555" s="5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101"/>
      <c r="AI555" s="101"/>
      <c r="AJ555" s="112"/>
      <c r="AK555" s="3"/>
      <c r="AL555" s="1"/>
      <c r="AM555" s="2"/>
      <c r="AN555" s="3"/>
      <c r="AO555" s="3"/>
      <c r="AP555" s="3"/>
      <c r="AQ555" s="3"/>
    </row>
    <row r="556" spans="1:43" ht="15.75" customHeight="1">
      <c r="A556" s="52"/>
      <c r="B556" s="5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101"/>
      <c r="AI556" s="101"/>
      <c r="AJ556" s="112"/>
      <c r="AK556" s="3"/>
      <c r="AL556" s="1"/>
      <c r="AM556" s="2"/>
      <c r="AN556" s="3"/>
      <c r="AO556" s="3"/>
      <c r="AP556" s="3"/>
      <c r="AQ556" s="3"/>
    </row>
    <row r="557" spans="1:43" ht="15.75" customHeight="1">
      <c r="A557" s="52"/>
      <c r="B557" s="5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101"/>
      <c r="AI557" s="101"/>
      <c r="AJ557" s="112"/>
      <c r="AK557" s="3"/>
      <c r="AL557" s="1"/>
      <c r="AM557" s="2"/>
      <c r="AN557" s="3"/>
      <c r="AO557" s="3"/>
      <c r="AP557" s="3"/>
      <c r="AQ557" s="3"/>
    </row>
    <row r="558" spans="1:43" ht="15.75" customHeight="1">
      <c r="A558" s="52"/>
      <c r="B558" s="5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101"/>
      <c r="AI558" s="101"/>
      <c r="AJ558" s="112"/>
      <c r="AK558" s="3"/>
      <c r="AL558" s="1"/>
      <c r="AM558" s="2"/>
      <c r="AN558" s="3"/>
      <c r="AO558" s="3"/>
      <c r="AP558" s="3"/>
      <c r="AQ558" s="3"/>
    </row>
    <row r="559" spans="1:43" ht="15.75" customHeight="1">
      <c r="A559" s="52"/>
      <c r="B559" s="5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101"/>
      <c r="AI559" s="101"/>
      <c r="AJ559" s="112"/>
      <c r="AK559" s="3"/>
      <c r="AL559" s="1"/>
      <c r="AM559" s="2"/>
      <c r="AN559" s="3"/>
      <c r="AO559" s="3"/>
      <c r="AP559" s="3"/>
      <c r="AQ559" s="3"/>
    </row>
    <row r="560" spans="1:43" ht="15.75" customHeight="1">
      <c r="A560" s="52"/>
      <c r="B560" s="5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101"/>
      <c r="AI560" s="101"/>
      <c r="AJ560" s="112"/>
      <c r="AK560" s="3"/>
      <c r="AL560" s="1"/>
      <c r="AM560" s="2"/>
      <c r="AN560" s="3"/>
      <c r="AO560" s="3"/>
      <c r="AP560" s="3"/>
      <c r="AQ560" s="3"/>
    </row>
    <row r="561" spans="1:43" ht="15.75" customHeight="1">
      <c r="A561" s="52"/>
      <c r="B561" s="5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101"/>
      <c r="AI561" s="101"/>
      <c r="AJ561" s="112"/>
      <c r="AK561" s="3"/>
      <c r="AL561" s="1"/>
      <c r="AM561" s="2"/>
      <c r="AN561" s="3"/>
      <c r="AO561" s="3"/>
      <c r="AP561" s="3"/>
      <c r="AQ561" s="3"/>
    </row>
    <row r="562" spans="1:43" ht="15.75" customHeight="1">
      <c r="A562" s="52"/>
      <c r="B562" s="5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101"/>
      <c r="AI562" s="101"/>
      <c r="AJ562" s="112"/>
      <c r="AK562" s="3"/>
      <c r="AL562" s="1"/>
      <c r="AM562" s="2"/>
      <c r="AN562" s="3"/>
      <c r="AO562" s="3"/>
      <c r="AP562" s="3"/>
      <c r="AQ562" s="3"/>
    </row>
    <row r="563" spans="1:43" ht="15.75" customHeight="1">
      <c r="A563" s="52"/>
      <c r="B563" s="5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101"/>
      <c r="AI563" s="101"/>
      <c r="AJ563" s="112"/>
      <c r="AK563" s="3"/>
      <c r="AL563" s="1"/>
      <c r="AM563" s="2"/>
      <c r="AN563" s="3"/>
      <c r="AO563" s="3"/>
      <c r="AP563" s="3"/>
      <c r="AQ563" s="3"/>
    </row>
    <row r="564" spans="1:43" ht="15.75" customHeight="1">
      <c r="A564" s="52"/>
      <c r="B564" s="5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101"/>
      <c r="AI564" s="101"/>
      <c r="AJ564" s="112"/>
      <c r="AK564" s="3"/>
      <c r="AL564" s="1"/>
      <c r="AM564" s="2"/>
      <c r="AN564" s="3"/>
      <c r="AO564" s="3"/>
      <c r="AP564" s="3"/>
      <c r="AQ564" s="3"/>
    </row>
    <row r="565" spans="1:43" ht="15.75" customHeight="1">
      <c r="A565" s="52"/>
      <c r="B565" s="5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101"/>
      <c r="AI565" s="101"/>
      <c r="AJ565" s="112"/>
      <c r="AK565" s="3"/>
      <c r="AL565" s="1"/>
      <c r="AM565" s="2"/>
      <c r="AN565" s="3"/>
      <c r="AO565" s="3"/>
      <c r="AP565" s="3"/>
      <c r="AQ565" s="3"/>
    </row>
    <row r="566" spans="1:43" ht="15.75" customHeight="1">
      <c r="A566" s="52"/>
      <c r="B566" s="5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101"/>
      <c r="AI566" s="101"/>
      <c r="AJ566" s="112"/>
      <c r="AK566" s="3"/>
      <c r="AL566" s="1"/>
      <c r="AM566" s="2"/>
      <c r="AN566" s="3"/>
      <c r="AO566" s="3"/>
      <c r="AP566" s="3"/>
      <c r="AQ566" s="3"/>
    </row>
    <row r="567" spans="1:43" ht="15.75" customHeight="1">
      <c r="A567" s="52"/>
      <c r="B567" s="5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101"/>
      <c r="AI567" s="101"/>
      <c r="AJ567" s="112"/>
      <c r="AK567" s="3"/>
      <c r="AL567" s="1"/>
      <c r="AM567" s="2"/>
      <c r="AN567" s="3"/>
      <c r="AO567" s="3"/>
      <c r="AP567" s="3"/>
      <c r="AQ567" s="3"/>
    </row>
    <row r="568" spans="1:43" ht="15.75" customHeight="1">
      <c r="A568" s="52"/>
      <c r="B568" s="5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101"/>
      <c r="AI568" s="101"/>
      <c r="AJ568" s="112"/>
      <c r="AK568" s="3"/>
      <c r="AL568" s="1"/>
      <c r="AM568" s="2"/>
      <c r="AN568" s="3"/>
      <c r="AO568" s="3"/>
      <c r="AP568" s="3"/>
      <c r="AQ568" s="3"/>
    </row>
    <row r="569" spans="1:43" ht="15.75" customHeight="1">
      <c r="A569" s="52"/>
      <c r="B569" s="5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101"/>
      <c r="AI569" s="101"/>
      <c r="AJ569" s="112"/>
      <c r="AK569" s="3"/>
      <c r="AL569" s="1"/>
      <c r="AM569" s="2"/>
      <c r="AN569" s="3"/>
      <c r="AO569" s="3"/>
      <c r="AP569" s="3"/>
      <c r="AQ569" s="3"/>
    </row>
    <row r="570" spans="1:43" ht="15.75" customHeight="1">
      <c r="A570" s="52"/>
      <c r="B570" s="5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101"/>
      <c r="AI570" s="101"/>
      <c r="AJ570" s="112"/>
      <c r="AK570" s="3"/>
      <c r="AL570" s="1"/>
      <c r="AM570" s="2"/>
      <c r="AN570" s="3"/>
      <c r="AO570" s="3"/>
      <c r="AP570" s="3"/>
      <c r="AQ570" s="3"/>
    </row>
    <row r="571" spans="1:43" ht="15.75" customHeight="1">
      <c r="A571" s="52"/>
      <c r="B571" s="5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101"/>
      <c r="AI571" s="101"/>
      <c r="AJ571" s="112"/>
      <c r="AK571" s="3"/>
      <c r="AL571" s="1"/>
      <c r="AM571" s="2"/>
      <c r="AN571" s="3"/>
      <c r="AO571" s="3"/>
      <c r="AP571" s="3"/>
      <c r="AQ571" s="3"/>
    </row>
    <row r="572" spans="1:43" ht="15.75" customHeight="1">
      <c r="A572" s="52"/>
      <c r="B572" s="5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101"/>
      <c r="AI572" s="101"/>
      <c r="AJ572" s="112"/>
      <c r="AK572" s="3"/>
      <c r="AL572" s="1"/>
      <c r="AM572" s="2"/>
      <c r="AN572" s="3"/>
      <c r="AO572" s="3"/>
      <c r="AP572" s="3"/>
      <c r="AQ572" s="3"/>
    </row>
    <row r="573" spans="1:43" ht="15.75" customHeight="1">
      <c r="A573" s="52"/>
      <c r="B573" s="5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101"/>
      <c r="AI573" s="101"/>
      <c r="AJ573" s="112"/>
      <c r="AK573" s="3"/>
      <c r="AL573" s="1"/>
      <c r="AM573" s="2"/>
      <c r="AN573" s="3"/>
      <c r="AO573" s="3"/>
      <c r="AP573" s="3"/>
      <c r="AQ573" s="3"/>
    </row>
    <row r="574" spans="1:43" ht="15.75" customHeight="1">
      <c r="A574" s="52"/>
      <c r="B574" s="5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101"/>
      <c r="AI574" s="101"/>
      <c r="AJ574" s="112"/>
      <c r="AK574" s="3"/>
      <c r="AL574" s="1"/>
      <c r="AM574" s="2"/>
      <c r="AN574" s="3"/>
      <c r="AO574" s="3"/>
      <c r="AP574" s="3"/>
      <c r="AQ574" s="3"/>
    </row>
    <row r="575" spans="1:43" ht="15.75" customHeight="1">
      <c r="A575" s="52"/>
      <c r="B575" s="5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101"/>
      <c r="AI575" s="101"/>
      <c r="AJ575" s="112"/>
      <c r="AK575" s="3"/>
      <c r="AL575" s="1"/>
      <c r="AM575" s="2"/>
      <c r="AN575" s="3"/>
      <c r="AO575" s="3"/>
      <c r="AP575" s="3"/>
      <c r="AQ575" s="3"/>
    </row>
    <row r="576" spans="1:43" ht="15.75" customHeight="1">
      <c r="A576" s="52"/>
      <c r="B576" s="5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101"/>
      <c r="AI576" s="101"/>
      <c r="AJ576" s="112"/>
      <c r="AK576" s="3"/>
      <c r="AL576" s="1"/>
      <c r="AM576" s="2"/>
      <c r="AN576" s="3"/>
      <c r="AO576" s="3"/>
      <c r="AP576" s="3"/>
      <c r="AQ576" s="3"/>
    </row>
    <row r="577" spans="1:43" ht="15.75" customHeight="1">
      <c r="A577" s="52"/>
      <c r="B577" s="5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101"/>
      <c r="AI577" s="101"/>
      <c r="AJ577" s="112"/>
      <c r="AK577" s="3"/>
      <c r="AL577" s="1"/>
      <c r="AM577" s="2"/>
      <c r="AN577" s="3"/>
      <c r="AO577" s="3"/>
      <c r="AP577" s="3"/>
      <c r="AQ577" s="3"/>
    </row>
    <row r="578" spans="1:43" ht="15.75" customHeight="1">
      <c r="A578" s="52"/>
      <c r="B578" s="5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101"/>
      <c r="AI578" s="101"/>
      <c r="AJ578" s="112"/>
      <c r="AK578" s="3"/>
      <c r="AL578" s="1"/>
      <c r="AM578" s="2"/>
      <c r="AN578" s="3"/>
      <c r="AO578" s="3"/>
      <c r="AP578" s="3"/>
      <c r="AQ578" s="3"/>
    </row>
    <row r="579" spans="1:43" ht="15.75" customHeight="1">
      <c r="A579" s="52"/>
      <c r="B579" s="5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101"/>
      <c r="AI579" s="101"/>
      <c r="AJ579" s="112"/>
      <c r="AK579" s="3"/>
      <c r="AL579" s="1"/>
      <c r="AM579" s="2"/>
      <c r="AN579" s="3"/>
      <c r="AO579" s="3"/>
      <c r="AP579" s="3"/>
      <c r="AQ579" s="3"/>
    </row>
    <row r="580" spans="1:43" ht="15.75" customHeight="1">
      <c r="A580" s="52"/>
      <c r="B580" s="5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101"/>
      <c r="AI580" s="101"/>
      <c r="AJ580" s="112"/>
      <c r="AK580" s="3"/>
      <c r="AL580" s="1"/>
      <c r="AM580" s="2"/>
      <c r="AN580" s="3"/>
      <c r="AO580" s="3"/>
      <c r="AP580" s="3"/>
      <c r="AQ580" s="3"/>
    </row>
    <row r="581" spans="1:43" ht="15.75" customHeight="1">
      <c r="A581" s="52"/>
      <c r="B581" s="5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101"/>
      <c r="AI581" s="101"/>
      <c r="AJ581" s="112"/>
      <c r="AK581" s="3"/>
      <c r="AL581" s="1"/>
      <c r="AM581" s="2"/>
      <c r="AN581" s="3"/>
      <c r="AO581" s="3"/>
      <c r="AP581" s="3"/>
      <c r="AQ581" s="3"/>
    </row>
    <row r="582" spans="1:43" ht="15.75" customHeight="1">
      <c r="A582" s="52"/>
      <c r="B582" s="5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101"/>
      <c r="AI582" s="101"/>
      <c r="AJ582" s="112"/>
      <c r="AK582" s="3"/>
      <c r="AL582" s="1"/>
      <c r="AM582" s="2"/>
      <c r="AN582" s="3"/>
      <c r="AO582" s="3"/>
      <c r="AP582" s="3"/>
      <c r="AQ582" s="3"/>
    </row>
    <row r="583" spans="1:43" ht="15.75" customHeight="1">
      <c r="A583" s="52"/>
      <c r="B583" s="5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101"/>
      <c r="AI583" s="101"/>
      <c r="AJ583" s="112"/>
      <c r="AK583" s="3"/>
      <c r="AL583" s="1"/>
      <c r="AM583" s="2"/>
      <c r="AN583" s="3"/>
      <c r="AO583" s="3"/>
      <c r="AP583" s="3"/>
      <c r="AQ583" s="3"/>
    </row>
    <row r="584" spans="1:43" ht="15.75" customHeight="1">
      <c r="A584" s="52"/>
      <c r="B584" s="5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101"/>
      <c r="AI584" s="101"/>
      <c r="AJ584" s="112"/>
      <c r="AK584" s="3"/>
      <c r="AL584" s="1"/>
      <c r="AM584" s="2"/>
      <c r="AN584" s="3"/>
      <c r="AO584" s="3"/>
      <c r="AP584" s="3"/>
      <c r="AQ584" s="3"/>
    </row>
    <row r="585" spans="1:43" ht="15.75" customHeight="1">
      <c r="A585" s="52"/>
      <c r="B585" s="5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101"/>
      <c r="AI585" s="101"/>
      <c r="AJ585" s="112"/>
      <c r="AK585" s="3"/>
      <c r="AL585" s="1"/>
      <c r="AM585" s="2"/>
      <c r="AN585" s="3"/>
      <c r="AO585" s="3"/>
      <c r="AP585" s="3"/>
      <c r="AQ585" s="3"/>
    </row>
    <row r="586" spans="1:43" ht="15.75" customHeight="1">
      <c r="A586" s="52"/>
      <c r="B586" s="5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101"/>
      <c r="AI586" s="101"/>
      <c r="AJ586" s="112"/>
      <c r="AK586" s="3"/>
      <c r="AL586" s="1"/>
      <c r="AM586" s="2"/>
      <c r="AN586" s="3"/>
      <c r="AO586" s="3"/>
      <c r="AP586" s="3"/>
      <c r="AQ586" s="3"/>
    </row>
    <row r="587" spans="1:43" ht="15.75" customHeight="1">
      <c r="A587" s="52"/>
      <c r="B587" s="5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101"/>
      <c r="AI587" s="101"/>
      <c r="AJ587" s="112"/>
      <c r="AK587" s="3"/>
      <c r="AL587" s="1"/>
      <c r="AM587" s="2"/>
      <c r="AN587" s="3"/>
      <c r="AO587" s="3"/>
      <c r="AP587" s="3"/>
      <c r="AQ587" s="3"/>
    </row>
    <row r="588" spans="1:43" ht="15.75" customHeight="1">
      <c r="A588" s="52"/>
      <c r="B588" s="5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101"/>
      <c r="AI588" s="101"/>
      <c r="AJ588" s="112"/>
      <c r="AK588" s="3"/>
      <c r="AL588" s="1"/>
      <c r="AM588" s="2"/>
      <c r="AN588" s="3"/>
      <c r="AO588" s="3"/>
      <c r="AP588" s="3"/>
      <c r="AQ588" s="3"/>
    </row>
    <row r="589" spans="1:43" ht="15.75" customHeight="1">
      <c r="A589" s="52"/>
      <c r="B589" s="5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101"/>
      <c r="AI589" s="101"/>
      <c r="AJ589" s="112"/>
      <c r="AK589" s="3"/>
      <c r="AL589" s="1"/>
      <c r="AM589" s="2"/>
      <c r="AN589" s="3"/>
      <c r="AO589" s="3"/>
      <c r="AP589" s="3"/>
      <c r="AQ589" s="3"/>
    </row>
    <row r="590" spans="1:43" ht="15.75" customHeight="1">
      <c r="A590" s="52"/>
      <c r="B590" s="5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101"/>
      <c r="AI590" s="101"/>
      <c r="AJ590" s="112"/>
      <c r="AK590" s="3"/>
      <c r="AL590" s="1"/>
      <c r="AM590" s="2"/>
      <c r="AN590" s="3"/>
      <c r="AO590" s="3"/>
      <c r="AP590" s="3"/>
      <c r="AQ590" s="3"/>
    </row>
    <row r="591" spans="1:43" ht="15.75" customHeight="1">
      <c r="A591" s="52"/>
      <c r="B591" s="5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101"/>
      <c r="AI591" s="101"/>
      <c r="AJ591" s="112"/>
      <c r="AK591" s="3"/>
      <c r="AL591" s="1"/>
      <c r="AM591" s="2"/>
      <c r="AN591" s="3"/>
      <c r="AO591" s="3"/>
      <c r="AP591" s="3"/>
      <c r="AQ591" s="3"/>
    </row>
    <row r="592" spans="1:43" ht="15.75" customHeight="1">
      <c r="A592" s="52"/>
      <c r="B592" s="5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101"/>
      <c r="AI592" s="101"/>
      <c r="AJ592" s="112"/>
      <c r="AK592" s="3"/>
      <c r="AL592" s="1"/>
      <c r="AM592" s="2"/>
      <c r="AN592" s="3"/>
      <c r="AO592" s="3"/>
      <c r="AP592" s="3"/>
      <c r="AQ592" s="3"/>
    </row>
    <row r="593" spans="1:43" ht="15.75" customHeight="1">
      <c r="A593" s="52"/>
      <c r="B593" s="5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101"/>
      <c r="AI593" s="101"/>
      <c r="AJ593" s="112"/>
      <c r="AK593" s="3"/>
      <c r="AL593" s="1"/>
      <c r="AM593" s="2"/>
      <c r="AN593" s="3"/>
      <c r="AO593" s="3"/>
      <c r="AP593" s="3"/>
      <c r="AQ593" s="3"/>
    </row>
    <row r="594" spans="1:43" ht="15.75" customHeight="1">
      <c r="A594" s="52"/>
      <c r="B594" s="5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101"/>
      <c r="AI594" s="101"/>
      <c r="AJ594" s="112"/>
      <c r="AK594" s="3"/>
      <c r="AL594" s="1"/>
      <c r="AM594" s="2"/>
      <c r="AN594" s="3"/>
      <c r="AO594" s="3"/>
      <c r="AP594" s="3"/>
      <c r="AQ594" s="3"/>
    </row>
    <row r="595" spans="1:43" ht="15.75" customHeight="1">
      <c r="A595" s="52"/>
      <c r="B595" s="5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101"/>
      <c r="AI595" s="101"/>
      <c r="AJ595" s="112"/>
      <c r="AK595" s="3"/>
      <c r="AL595" s="1"/>
      <c r="AM595" s="2"/>
      <c r="AN595" s="3"/>
      <c r="AO595" s="3"/>
      <c r="AP595" s="3"/>
      <c r="AQ595" s="3"/>
    </row>
    <row r="596" spans="1:43" ht="15.75" customHeight="1">
      <c r="A596" s="52"/>
      <c r="B596" s="5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101"/>
      <c r="AI596" s="101"/>
      <c r="AJ596" s="112"/>
      <c r="AK596" s="3"/>
      <c r="AL596" s="1"/>
      <c r="AM596" s="2"/>
      <c r="AN596" s="3"/>
      <c r="AO596" s="3"/>
      <c r="AP596" s="3"/>
      <c r="AQ596" s="3"/>
    </row>
    <row r="597" spans="1:43" ht="15.75" customHeight="1">
      <c r="A597" s="52"/>
      <c r="B597" s="5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101"/>
      <c r="AI597" s="101"/>
      <c r="AJ597" s="112"/>
      <c r="AK597" s="3"/>
      <c r="AL597" s="1"/>
      <c r="AM597" s="2"/>
      <c r="AN597" s="3"/>
      <c r="AO597" s="3"/>
      <c r="AP597" s="3"/>
      <c r="AQ597" s="3"/>
    </row>
    <row r="598" spans="1:43" ht="15.75" customHeight="1">
      <c r="A598" s="52"/>
      <c r="B598" s="5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101"/>
      <c r="AI598" s="101"/>
      <c r="AJ598" s="112"/>
      <c r="AK598" s="3"/>
      <c r="AL598" s="1"/>
      <c r="AM598" s="2"/>
      <c r="AN598" s="3"/>
      <c r="AO598" s="3"/>
      <c r="AP598" s="3"/>
      <c r="AQ598" s="3"/>
    </row>
    <row r="599" spans="1:43" ht="15.75" customHeight="1">
      <c r="A599" s="52"/>
      <c r="B599" s="5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101"/>
      <c r="AI599" s="101"/>
      <c r="AJ599" s="112"/>
      <c r="AK599" s="3"/>
      <c r="AL599" s="1"/>
      <c r="AM599" s="2"/>
      <c r="AN599" s="3"/>
      <c r="AO599" s="3"/>
      <c r="AP599" s="3"/>
      <c r="AQ599" s="3"/>
    </row>
    <row r="600" spans="1:43" ht="15.75" customHeight="1">
      <c r="A600" s="52"/>
      <c r="B600" s="5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101"/>
      <c r="AI600" s="101"/>
      <c r="AJ600" s="112"/>
      <c r="AK600" s="3"/>
      <c r="AL600" s="1"/>
      <c r="AM600" s="2"/>
      <c r="AN600" s="3"/>
      <c r="AO600" s="3"/>
      <c r="AP600" s="3"/>
      <c r="AQ600" s="3"/>
    </row>
    <row r="601" spans="1:43" ht="15.75" customHeight="1">
      <c r="A601" s="52"/>
      <c r="B601" s="5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101"/>
      <c r="AI601" s="101"/>
      <c r="AJ601" s="112"/>
      <c r="AK601" s="3"/>
      <c r="AL601" s="1"/>
      <c r="AM601" s="2"/>
      <c r="AN601" s="3"/>
      <c r="AO601" s="3"/>
      <c r="AP601" s="3"/>
      <c r="AQ601" s="3"/>
    </row>
    <row r="602" spans="1:43" ht="15.75" customHeight="1">
      <c r="A602" s="52"/>
      <c r="B602" s="5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101"/>
      <c r="AI602" s="101"/>
      <c r="AJ602" s="112"/>
      <c r="AK602" s="3"/>
      <c r="AL602" s="1"/>
      <c r="AM602" s="2"/>
      <c r="AN602" s="3"/>
      <c r="AO602" s="3"/>
      <c r="AP602" s="3"/>
      <c r="AQ602" s="3"/>
    </row>
    <row r="603" spans="1:43" ht="15.75" customHeight="1">
      <c r="A603" s="52"/>
      <c r="B603" s="5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101"/>
      <c r="AI603" s="101"/>
      <c r="AJ603" s="112"/>
      <c r="AK603" s="3"/>
      <c r="AL603" s="1"/>
      <c r="AM603" s="2"/>
      <c r="AN603" s="3"/>
      <c r="AO603" s="3"/>
      <c r="AP603" s="3"/>
      <c r="AQ603" s="3"/>
    </row>
    <row r="604" spans="1:43" ht="15.75" customHeight="1">
      <c r="A604" s="52"/>
      <c r="B604" s="5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101"/>
      <c r="AI604" s="101"/>
      <c r="AJ604" s="112"/>
      <c r="AK604" s="3"/>
      <c r="AL604" s="1"/>
      <c r="AM604" s="2"/>
      <c r="AN604" s="3"/>
      <c r="AO604" s="3"/>
      <c r="AP604" s="3"/>
      <c r="AQ604" s="3"/>
    </row>
    <row r="605" spans="1:43" ht="15.75" customHeight="1">
      <c r="A605" s="52"/>
      <c r="B605" s="5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101"/>
      <c r="AI605" s="101"/>
      <c r="AJ605" s="112"/>
      <c r="AK605" s="3"/>
      <c r="AL605" s="1"/>
      <c r="AM605" s="2"/>
      <c r="AN605" s="3"/>
      <c r="AO605" s="3"/>
      <c r="AP605" s="3"/>
      <c r="AQ605" s="3"/>
    </row>
    <row r="606" spans="1:43" ht="15.75" customHeight="1">
      <c r="A606" s="52"/>
      <c r="B606" s="5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101"/>
      <c r="AI606" s="101"/>
      <c r="AJ606" s="112"/>
      <c r="AK606" s="3"/>
      <c r="AL606" s="1"/>
      <c r="AM606" s="2"/>
      <c r="AN606" s="3"/>
      <c r="AO606" s="3"/>
      <c r="AP606" s="3"/>
      <c r="AQ606" s="3"/>
    </row>
    <row r="607" spans="1:43" ht="15.75" customHeight="1">
      <c r="A607" s="52"/>
      <c r="B607" s="5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101"/>
      <c r="AI607" s="101"/>
      <c r="AJ607" s="112"/>
      <c r="AK607" s="3"/>
      <c r="AL607" s="1"/>
      <c r="AM607" s="2"/>
      <c r="AN607" s="3"/>
      <c r="AO607" s="3"/>
      <c r="AP607" s="3"/>
      <c r="AQ607" s="3"/>
    </row>
    <row r="608" spans="1:43" ht="15.75" customHeight="1">
      <c r="A608" s="52"/>
      <c r="B608" s="5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101"/>
      <c r="AI608" s="101"/>
      <c r="AJ608" s="112"/>
      <c r="AK608" s="3"/>
      <c r="AL608" s="1"/>
      <c r="AM608" s="2"/>
      <c r="AN608" s="3"/>
      <c r="AO608" s="3"/>
      <c r="AP608" s="3"/>
      <c r="AQ608" s="3"/>
    </row>
    <row r="609" spans="1:43" ht="15.75" customHeight="1">
      <c r="A609" s="52"/>
      <c r="B609" s="5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101"/>
      <c r="AI609" s="101"/>
      <c r="AJ609" s="112"/>
      <c r="AK609" s="3"/>
      <c r="AL609" s="1"/>
      <c r="AM609" s="2"/>
      <c r="AN609" s="3"/>
      <c r="AO609" s="3"/>
      <c r="AP609" s="3"/>
      <c r="AQ609" s="3"/>
    </row>
    <row r="610" spans="1:43" ht="15.75" customHeight="1">
      <c r="A610" s="52"/>
      <c r="B610" s="5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101"/>
      <c r="AI610" s="101"/>
      <c r="AJ610" s="112"/>
      <c r="AK610" s="3"/>
      <c r="AL610" s="1"/>
      <c r="AM610" s="2"/>
      <c r="AN610" s="3"/>
      <c r="AO610" s="3"/>
      <c r="AP610" s="3"/>
      <c r="AQ610" s="3"/>
    </row>
    <row r="611" spans="1:43" ht="15.75" customHeight="1">
      <c r="A611" s="52"/>
      <c r="B611" s="5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101"/>
      <c r="AI611" s="101"/>
      <c r="AJ611" s="112"/>
      <c r="AK611" s="3"/>
      <c r="AL611" s="1"/>
      <c r="AM611" s="2"/>
      <c r="AN611" s="3"/>
      <c r="AO611" s="3"/>
      <c r="AP611" s="3"/>
      <c r="AQ611" s="3"/>
    </row>
    <row r="612" spans="1:43" ht="15.75" customHeight="1">
      <c r="A612" s="52"/>
      <c r="B612" s="5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101"/>
      <c r="AI612" s="101"/>
      <c r="AJ612" s="112"/>
      <c r="AK612" s="3"/>
      <c r="AL612" s="1"/>
      <c r="AM612" s="2"/>
      <c r="AN612" s="3"/>
      <c r="AO612" s="3"/>
      <c r="AP612" s="3"/>
      <c r="AQ612" s="3"/>
    </row>
    <row r="613" spans="1:43" ht="15.75" customHeight="1">
      <c r="A613" s="52"/>
      <c r="B613" s="5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101"/>
      <c r="AI613" s="101"/>
      <c r="AJ613" s="112"/>
      <c r="AK613" s="3"/>
      <c r="AL613" s="1"/>
      <c r="AM613" s="2"/>
      <c r="AN613" s="3"/>
      <c r="AO613" s="3"/>
      <c r="AP613" s="3"/>
      <c r="AQ613" s="3"/>
    </row>
    <row r="614" spans="1:43" ht="15.75" customHeight="1">
      <c r="A614" s="52"/>
      <c r="B614" s="5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101"/>
      <c r="AI614" s="101"/>
      <c r="AJ614" s="112"/>
      <c r="AK614" s="3"/>
      <c r="AL614" s="1"/>
      <c r="AM614" s="2"/>
      <c r="AN614" s="3"/>
      <c r="AO614" s="3"/>
      <c r="AP614" s="3"/>
      <c r="AQ614" s="3"/>
    </row>
    <row r="615" spans="1:43" ht="15.75" customHeight="1">
      <c r="A615" s="52"/>
      <c r="B615" s="5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101"/>
      <c r="AI615" s="101"/>
      <c r="AJ615" s="112"/>
      <c r="AK615" s="3"/>
      <c r="AL615" s="1"/>
      <c r="AM615" s="2"/>
      <c r="AN615" s="3"/>
      <c r="AO615" s="3"/>
      <c r="AP615" s="3"/>
      <c r="AQ615" s="3"/>
    </row>
    <row r="616" spans="1:43" ht="15.75" customHeight="1">
      <c r="A616" s="52"/>
      <c r="B616" s="5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101"/>
      <c r="AI616" s="101"/>
      <c r="AJ616" s="112"/>
      <c r="AK616" s="3"/>
      <c r="AL616" s="1"/>
      <c r="AM616" s="2"/>
      <c r="AN616" s="3"/>
      <c r="AO616" s="3"/>
      <c r="AP616" s="3"/>
      <c r="AQ616" s="3"/>
    </row>
    <row r="617" spans="1:43" ht="15.75" customHeight="1">
      <c r="A617" s="52"/>
      <c r="B617" s="5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101"/>
      <c r="AI617" s="101"/>
      <c r="AJ617" s="112"/>
      <c r="AK617" s="3"/>
      <c r="AL617" s="1"/>
      <c r="AM617" s="2"/>
      <c r="AN617" s="3"/>
      <c r="AO617" s="3"/>
      <c r="AP617" s="3"/>
      <c r="AQ617" s="3"/>
    </row>
    <row r="618" spans="1:43" ht="15.75" customHeight="1">
      <c r="A618" s="52"/>
      <c r="B618" s="5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101"/>
      <c r="AI618" s="101"/>
      <c r="AJ618" s="112"/>
      <c r="AK618" s="3"/>
      <c r="AL618" s="1"/>
      <c r="AM618" s="2"/>
      <c r="AN618" s="3"/>
      <c r="AO618" s="3"/>
      <c r="AP618" s="3"/>
      <c r="AQ618" s="3"/>
    </row>
    <row r="619" spans="1:43" ht="15.75" customHeight="1">
      <c r="A619" s="52"/>
      <c r="B619" s="5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101"/>
      <c r="AI619" s="101"/>
      <c r="AJ619" s="112"/>
      <c r="AK619" s="3"/>
      <c r="AL619" s="1"/>
      <c r="AM619" s="2"/>
      <c r="AN619" s="3"/>
      <c r="AO619" s="3"/>
      <c r="AP619" s="3"/>
      <c r="AQ619" s="3"/>
    </row>
    <row r="620" spans="1:43" ht="15.75" customHeight="1">
      <c r="A620" s="52"/>
      <c r="B620" s="5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101"/>
      <c r="AI620" s="101"/>
      <c r="AJ620" s="112"/>
      <c r="AK620" s="3"/>
      <c r="AL620" s="1"/>
      <c r="AM620" s="2"/>
      <c r="AN620" s="3"/>
      <c r="AO620" s="3"/>
      <c r="AP620" s="3"/>
      <c r="AQ620" s="3"/>
    </row>
    <row r="621" spans="1:43" ht="15.75" customHeight="1">
      <c r="A621" s="52"/>
      <c r="B621" s="5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101"/>
      <c r="AI621" s="101"/>
      <c r="AJ621" s="112"/>
      <c r="AK621" s="3"/>
      <c r="AL621" s="1"/>
      <c r="AM621" s="2"/>
      <c r="AN621" s="3"/>
      <c r="AO621" s="3"/>
      <c r="AP621" s="3"/>
      <c r="AQ621" s="3"/>
    </row>
    <row r="622" spans="1:43" ht="15.75" customHeight="1">
      <c r="A622" s="52"/>
      <c r="B622" s="5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101"/>
      <c r="AI622" s="101"/>
      <c r="AJ622" s="112"/>
      <c r="AK622" s="3"/>
      <c r="AL622" s="1"/>
      <c r="AM622" s="2"/>
      <c r="AN622" s="3"/>
      <c r="AO622" s="3"/>
      <c r="AP622" s="3"/>
      <c r="AQ622" s="3"/>
    </row>
    <row r="623" spans="1:43" ht="15.75" customHeight="1">
      <c r="A623" s="52"/>
      <c r="B623" s="5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101"/>
      <c r="AI623" s="101"/>
      <c r="AJ623" s="112"/>
      <c r="AK623" s="3"/>
      <c r="AL623" s="1"/>
      <c r="AM623" s="2"/>
      <c r="AN623" s="3"/>
      <c r="AO623" s="3"/>
      <c r="AP623" s="3"/>
      <c r="AQ623" s="3"/>
    </row>
    <row r="624" spans="1:43" ht="15.75" customHeight="1">
      <c r="A624" s="52"/>
      <c r="B624" s="5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101"/>
      <c r="AI624" s="101"/>
      <c r="AJ624" s="112"/>
      <c r="AK624" s="3"/>
      <c r="AL624" s="1"/>
      <c r="AM624" s="2"/>
      <c r="AN624" s="3"/>
      <c r="AO624" s="3"/>
      <c r="AP624" s="3"/>
      <c r="AQ624" s="3"/>
    </row>
    <row r="625" spans="1:43" ht="15.75" customHeight="1">
      <c r="A625" s="52"/>
      <c r="B625" s="5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101"/>
      <c r="AI625" s="101"/>
      <c r="AJ625" s="112"/>
      <c r="AK625" s="3"/>
      <c r="AL625" s="1"/>
      <c r="AM625" s="2"/>
      <c r="AN625" s="3"/>
      <c r="AO625" s="3"/>
      <c r="AP625" s="3"/>
      <c r="AQ625" s="3"/>
    </row>
    <row r="626" spans="1:43" ht="15.75" customHeight="1">
      <c r="A626" s="52"/>
      <c r="B626" s="5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101"/>
      <c r="AI626" s="101"/>
      <c r="AJ626" s="112"/>
      <c r="AK626" s="3"/>
      <c r="AL626" s="1"/>
      <c r="AM626" s="2"/>
      <c r="AN626" s="3"/>
      <c r="AO626" s="3"/>
      <c r="AP626" s="3"/>
      <c r="AQ626" s="3"/>
    </row>
    <row r="627" spans="1:43" ht="15.75" customHeight="1">
      <c r="A627" s="52"/>
      <c r="B627" s="5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101"/>
      <c r="AI627" s="101"/>
      <c r="AJ627" s="112"/>
      <c r="AK627" s="3"/>
      <c r="AL627" s="1"/>
      <c r="AM627" s="2"/>
      <c r="AN627" s="3"/>
      <c r="AO627" s="3"/>
      <c r="AP627" s="3"/>
      <c r="AQ627" s="3"/>
    </row>
    <row r="628" spans="1:43" ht="15.75" customHeight="1">
      <c r="A628" s="52"/>
      <c r="B628" s="5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101"/>
      <c r="AI628" s="101"/>
      <c r="AJ628" s="112"/>
      <c r="AK628" s="3"/>
      <c r="AL628" s="1"/>
      <c r="AM628" s="2"/>
      <c r="AN628" s="3"/>
      <c r="AO628" s="3"/>
      <c r="AP628" s="3"/>
      <c r="AQ628" s="3"/>
    </row>
    <row r="629" spans="1:43" ht="15.75" customHeight="1">
      <c r="A629" s="52"/>
      <c r="B629" s="5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101"/>
      <c r="AI629" s="101"/>
      <c r="AJ629" s="112"/>
      <c r="AK629" s="3"/>
      <c r="AL629" s="1"/>
      <c r="AM629" s="2"/>
      <c r="AN629" s="3"/>
      <c r="AO629" s="3"/>
      <c r="AP629" s="3"/>
      <c r="AQ629" s="3"/>
    </row>
    <row r="630" spans="1:43" ht="15.75" customHeight="1">
      <c r="A630" s="52"/>
      <c r="B630" s="5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101"/>
      <c r="AI630" s="101"/>
      <c r="AJ630" s="112"/>
      <c r="AK630" s="3"/>
      <c r="AL630" s="1"/>
      <c r="AM630" s="2"/>
      <c r="AN630" s="3"/>
      <c r="AO630" s="3"/>
      <c r="AP630" s="3"/>
      <c r="AQ630" s="3"/>
    </row>
    <row r="631" spans="1:43" ht="15.75" customHeight="1">
      <c r="A631" s="52"/>
      <c r="B631" s="5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101"/>
      <c r="AI631" s="101"/>
      <c r="AJ631" s="112"/>
      <c r="AK631" s="3"/>
      <c r="AL631" s="1"/>
      <c r="AM631" s="2"/>
      <c r="AN631" s="3"/>
      <c r="AO631" s="3"/>
      <c r="AP631" s="3"/>
      <c r="AQ631" s="3"/>
    </row>
    <row r="632" spans="1:43" ht="15.75" customHeight="1">
      <c r="A632" s="52"/>
      <c r="B632" s="5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101"/>
      <c r="AI632" s="101"/>
      <c r="AJ632" s="112"/>
      <c r="AK632" s="3"/>
      <c r="AL632" s="1"/>
      <c r="AM632" s="2"/>
      <c r="AN632" s="3"/>
      <c r="AO632" s="3"/>
      <c r="AP632" s="3"/>
      <c r="AQ632" s="3"/>
    </row>
    <row r="633" spans="1:43" ht="15.75" customHeight="1">
      <c r="A633" s="52"/>
      <c r="B633" s="5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101"/>
      <c r="AI633" s="101"/>
      <c r="AJ633" s="112"/>
      <c r="AK633" s="3"/>
      <c r="AL633" s="1"/>
      <c r="AM633" s="2"/>
      <c r="AN633" s="3"/>
      <c r="AO633" s="3"/>
      <c r="AP633" s="3"/>
      <c r="AQ633" s="3"/>
    </row>
    <row r="634" spans="1:43" ht="15.75" customHeight="1">
      <c r="A634" s="52"/>
      <c r="B634" s="5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101"/>
      <c r="AI634" s="101"/>
      <c r="AJ634" s="112"/>
      <c r="AK634" s="3"/>
      <c r="AL634" s="1"/>
      <c r="AM634" s="2"/>
      <c r="AN634" s="3"/>
      <c r="AO634" s="3"/>
      <c r="AP634" s="3"/>
      <c r="AQ634" s="3"/>
    </row>
    <row r="635" spans="1:43" ht="15.75" customHeight="1">
      <c r="A635" s="52"/>
      <c r="B635" s="5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101"/>
      <c r="AI635" s="101"/>
      <c r="AJ635" s="112"/>
      <c r="AK635" s="3"/>
      <c r="AL635" s="1"/>
      <c r="AM635" s="2"/>
      <c r="AN635" s="3"/>
      <c r="AO635" s="3"/>
      <c r="AP635" s="3"/>
      <c r="AQ635" s="3"/>
    </row>
    <row r="636" spans="1:43" ht="15.75" customHeight="1">
      <c r="A636" s="52"/>
      <c r="B636" s="5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101"/>
      <c r="AI636" s="101"/>
      <c r="AJ636" s="112"/>
      <c r="AK636" s="3"/>
      <c r="AL636" s="1"/>
      <c r="AM636" s="2"/>
      <c r="AN636" s="3"/>
      <c r="AO636" s="3"/>
      <c r="AP636" s="3"/>
      <c r="AQ636" s="3"/>
    </row>
    <row r="637" spans="1:43" ht="15.75" customHeight="1">
      <c r="A637" s="52"/>
      <c r="B637" s="5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101"/>
      <c r="AI637" s="101"/>
      <c r="AJ637" s="112"/>
      <c r="AK637" s="3"/>
      <c r="AL637" s="1"/>
      <c r="AM637" s="2"/>
      <c r="AN637" s="3"/>
      <c r="AO637" s="3"/>
      <c r="AP637" s="3"/>
      <c r="AQ637" s="3"/>
    </row>
    <row r="638" spans="1:43" ht="15.75" customHeight="1">
      <c r="A638" s="52"/>
      <c r="B638" s="5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101"/>
      <c r="AI638" s="101"/>
      <c r="AJ638" s="112"/>
      <c r="AK638" s="3"/>
      <c r="AL638" s="1"/>
      <c r="AM638" s="2"/>
      <c r="AN638" s="3"/>
      <c r="AO638" s="3"/>
      <c r="AP638" s="3"/>
      <c r="AQ638" s="3"/>
    </row>
    <row r="639" spans="1:43" ht="15.75" customHeight="1">
      <c r="A639" s="52"/>
      <c r="B639" s="5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101"/>
      <c r="AI639" s="101"/>
      <c r="AJ639" s="112"/>
      <c r="AK639" s="3"/>
      <c r="AL639" s="1"/>
      <c r="AM639" s="2"/>
      <c r="AN639" s="3"/>
      <c r="AO639" s="3"/>
      <c r="AP639" s="3"/>
      <c r="AQ639" s="3"/>
    </row>
    <row r="640" spans="1:43" ht="15.75" customHeight="1">
      <c r="A640" s="52"/>
      <c r="B640" s="5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101"/>
      <c r="AI640" s="101"/>
      <c r="AJ640" s="112"/>
      <c r="AK640" s="3"/>
      <c r="AL640" s="1"/>
      <c r="AM640" s="2"/>
      <c r="AN640" s="3"/>
      <c r="AO640" s="3"/>
      <c r="AP640" s="3"/>
      <c r="AQ640" s="3"/>
    </row>
    <row r="641" spans="1:43" ht="15.75" customHeight="1">
      <c r="A641" s="52"/>
      <c r="B641" s="5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101"/>
      <c r="AI641" s="101"/>
      <c r="AJ641" s="112"/>
      <c r="AK641" s="3"/>
      <c r="AL641" s="1"/>
      <c r="AM641" s="2"/>
      <c r="AN641" s="3"/>
      <c r="AO641" s="3"/>
      <c r="AP641" s="3"/>
      <c r="AQ641" s="3"/>
    </row>
    <row r="642" spans="1:43" ht="15.75" customHeight="1">
      <c r="A642" s="52"/>
      <c r="B642" s="5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101"/>
      <c r="AI642" s="101"/>
      <c r="AJ642" s="112"/>
      <c r="AK642" s="3"/>
      <c r="AL642" s="1"/>
      <c r="AM642" s="2"/>
      <c r="AN642" s="3"/>
      <c r="AO642" s="3"/>
      <c r="AP642" s="3"/>
      <c r="AQ642" s="3"/>
    </row>
    <row r="643" spans="1:43" ht="15.75" customHeight="1">
      <c r="A643" s="52"/>
      <c r="B643" s="5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101"/>
      <c r="AI643" s="101"/>
      <c r="AJ643" s="112"/>
      <c r="AK643" s="3"/>
      <c r="AL643" s="1"/>
      <c r="AM643" s="2"/>
      <c r="AN643" s="3"/>
      <c r="AO643" s="3"/>
      <c r="AP643" s="3"/>
      <c r="AQ643" s="3"/>
    </row>
    <row r="644" spans="1:43" ht="15.75" customHeight="1">
      <c r="A644" s="52"/>
      <c r="B644" s="5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101"/>
      <c r="AI644" s="101"/>
      <c r="AJ644" s="112"/>
      <c r="AK644" s="3"/>
      <c r="AL644" s="1"/>
      <c r="AM644" s="2"/>
      <c r="AN644" s="3"/>
      <c r="AO644" s="3"/>
      <c r="AP644" s="3"/>
      <c r="AQ644" s="3"/>
    </row>
    <row r="645" spans="1:43" ht="15.75" customHeight="1">
      <c r="A645" s="52"/>
      <c r="B645" s="5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101"/>
      <c r="AI645" s="101"/>
      <c r="AJ645" s="112"/>
      <c r="AK645" s="3"/>
      <c r="AL645" s="1"/>
      <c r="AM645" s="2"/>
      <c r="AN645" s="3"/>
      <c r="AO645" s="3"/>
      <c r="AP645" s="3"/>
      <c r="AQ645" s="3"/>
    </row>
    <row r="646" spans="1:43" ht="15.75" customHeight="1">
      <c r="A646" s="52"/>
      <c r="B646" s="5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101"/>
      <c r="AI646" s="101"/>
      <c r="AJ646" s="112"/>
      <c r="AK646" s="3"/>
      <c r="AL646" s="1"/>
      <c r="AM646" s="2"/>
      <c r="AN646" s="3"/>
      <c r="AO646" s="3"/>
      <c r="AP646" s="3"/>
      <c r="AQ646" s="3"/>
    </row>
    <row r="647" spans="1:43" ht="15.75" customHeight="1">
      <c r="A647" s="52"/>
      <c r="B647" s="5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101"/>
      <c r="AI647" s="101"/>
      <c r="AJ647" s="112"/>
      <c r="AK647" s="3"/>
      <c r="AL647" s="1"/>
      <c r="AM647" s="2"/>
      <c r="AN647" s="3"/>
      <c r="AO647" s="3"/>
      <c r="AP647" s="3"/>
      <c r="AQ647" s="3"/>
    </row>
    <row r="648" spans="1:43" ht="15.75" customHeight="1">
      <c r="A648" s="52"/>
      <c r="B648" s="5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101"/>
      <c r="AI648" s="101"/>
      <c r="AJ648" s="112"/>
      <c r="AK648" s="3"/>
      <c r="AL648" s="1"/>
      <c r="AM648" s="2"/>
      <c r="AN648" s="3"/>
      <c r="AO648" s="3"/>
      <c r="AP648" s="3"/>
      <c r="AQ648" s="3"/>
    </row>
    <row r="649" spans="1:43" ht="15.75" customHeight="1">
      <c r="A649" s="52"/>
      <c r="B649" s="5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101"/>
      <c r="AI649" s="101"/>
      <c r="AJ649" s="112"/>
      <c r="AK649" s="3"/>
      <c r="AL649" s="1"/>
      <c r="AM649" s="2"/>
      <c r="AN649" s="3"/>
      <c r="AO649" s="3"/>
      <c r="AP649" s="3"/>
      <c r="AQ649" s="3"/>
    </row>
    <row r="650" spans="1:43" ht="15.75" customHeight="1">
      <c r="A650" s="52"/>
      <c r="B650" s="5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101"/>
      <c r="AI650" s="101"/>
      <c r="AJ650" s="112"/>
      <c r="AK650" s="3"/>
      <c r="AL650" s="1"/>
      <c r="AM650" s="2"/>
      <c r="AN650" s="3"/>
      <c r="AO650" s="3"/>
      <c r="AP650" s="3"/>
      <c r="AQ650" s="3"/>
    </row>
    <row r="651" spans="1:43" ht="15.75" customHeight="1">
      <c r="A651" s="52"/>
      <c r="B651" s="5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101"/>
      <c r="AI651" s="101"/>
      <c r="AJ651" s="112"/>
      <c r="AK651" s="3"/>
      <c r="AL651" s="1"/>
      <c r="AM651" s="2"/>
      <c r="AN651" s="3"/>
      <c r="AO651" s="3"/>
      <c r="AP651" s="3"/>
      <c r="AQ651" s="3"/>
    </row>
    <row r="652" spans="1:43" ht="15.75" customHeight="1">
      <c r="A652" s="52"/>
      <c r="B652" s="5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101"/>
      <c r="AI652" s="101"/>
      <c r="AJ652" s="112"/>
      <c r="AK652" s="3"/>
      <c r="AL652" s="1"/>
      <c r="AM652" s="2"/>
      <c r="AN652" s="3"/>
      <c r="AO652" s="3"/>
      <c r="AP652" s="3"/>
      <c r="AQ652" s="3"/>
    </row>
    <row r="653" spans="1:43" ht="15.75" customHeight="1">
      <c r="A653" s="52"/>
      <c r="B653" s="5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101"/>
      <c r="AI653" s="101"/>
      <c r="AJ653" s="112"/>
      <c r="AK653" s="3"/>
      <c r="AL653" s="1"/>
      <c r="AM653" s="2"/>
      <c r="AN653" s="3"/>
      <c r="AO653" s="3"/>
      <c r="AP653" s="3"/>
      <c r="AQ653" s="3"/>
    </row>
    <row r="654" spans="1:43" ht="15.75" customHeight="1">
      <c r="A654" s="52"/>
      <c r="B654" s="5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101"/>
      <c r="AI654" s="101"/>
      <c r="AJ654" s="112"/>
      <c r="AK654" s="3"/>
      <c r="AL654" s="1"/>
      <c r="AM654" s="2"/>
      <c r="AN654" s="3"/>
      <c r="AO654" s="3"/>
      <c r="AP654" s="3"/>
      <c r="AQ654" s="3"/>
    </row>
    <row r="655" spans="1:43" ht="15.75" customHeight="1">
      <c r="A655" s="52"/>
      <c r="B655" s="5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101"/>
      <c r="AI655" s="101"/>
      <c r="AJ655" s="112"/>
      <c r="AK655" s="3"/>
      <c r="AL655" s="1"/>
      <c r="AM655" s="2"/>
      <c r="AN655" s="3"/>
      <c r="AO655" s="3"/>
      <c r="AP655" s="3"/>
      <c r="AQ655" s="3"/>
    </row>
    <row r="656" spans="1:43" ht="15.75" customHeight="1">
      <c r="A656" s="52"/>
      <c r="B656" s="5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101"/>
      <c r="AI656" s="101"/>
      <c r="AJ656" s="112"/>
      <c r="AK656" s="3"/>
      <c r="AL656" s="1"/>
      <c r="AM656" s="2"/>
      <c r="AN656" s="3"/>
      <c r="AO656" s="3"/>
      <c r="AP656" s="3"/>
      <c r="AQ656" s="3"/>
    </row>
    <row r="657" spans="1:43" ht="15.75" customHeight="1">
      <c r="A657" s="52"/>
      <c r="B657" s="5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101"/>
      <c r="AI657" s="101"/>
      <c r="AJ657" s="112"/>
      <c r="AK657" s="3"/>
      <c r="AL657" s="1"/>
      <c r="AM657" s="2"/>
      <c r="AN657" s="3"/>
      <c r="AO657" s="3"/>
      <c r="AP657" s="3"/>
      <c r="AQ657" s="3"/>
    </row>
    <row r="658" spans="1:43" ht="15.75" customHeight="1">
      <c r="A658" s="52"/>
      <c r="B658" s="5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101"/>
      <c r="AI658" s="101"/>
      <c r="AJ658" s="112"/>
      <c r="AK658" s="3"/>
      <c r="AL658" s="1"/>
      <c r="AM658" s="2"/>
      <c r="AN658" s="3"/>
      <c r="AO658" s="3"/>
      <c r="AP658" s="3"/>
      <c r="AQ658" s="3"/>
    </row>
    <row r="659" spans="1:43" ht="15.75" customHeight="1">
      <c r="A659" s="52"/>
      <c r="B659" s="5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101"/>
      <c r="AI659" s="101"/>
      <c r="AJ659" s="112"/>
      <c r="AK659" s="3"/>
      <c r="AL659" s="1"/>
      <c r="AM659" s="2"/>
      <c r="AN659" s="3"/>
      <c r="AO659" s="3"/>
      <c r="AP659" s="3"/>
      <c r="AQ659" s="3"/>
    </row>
    <row r="660" spans="1:43" ht="15.75" customHeight="1">
      <c r="A660" s="52"/>
      <c r="B660" s="5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101"/>
      <c r="AI660" s="101"/>
      <c r="AJ660" s="112"/>
      <c r="AK660" s="3"/>
      <c r="AL660" s="1"/>
      <c r="AM660" s="2"/>
      <c r="AN660" s="3"/>
      <c r="AO660" s="3"/>
      <c r="AP660" s="3"/>
      <c r="AQ660" s="3"/>
    </row>
    <row r="661" spans="1:43" ht="15.75" customHeight="1">
      <c r="A661" s="52"/>
      <c r="B661" s="5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101"/>
      <c r="AI661" s="101"/>
      <c r="AJ661" s="112"/>
      <c r="AK661" s="3"/>
      <c r="AL661" s="1"/>
      <c r="AM661" s="2"/>
      <c r="AN661" s="3"/>
      <c r="AO661" s="3"/>
      <c r="AP661" s="3"/>
      <c r="AQ661" s="3"/>
    </row>
    <row r="662" spans="1:43" ht="15.75" customHeight="1">
      <c r="A662" s="52"/>
      <c r="B662" s="5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101"/>
      <c r="AI662" s="101"/>
      <c r="AJ662" s="112"/>
      <c r="AK662" s="3"/>
      <c r="AL662" s="1"/>
      <c r="AM662" s="2"/>
      <c r="AN662" s="3"/>
      <c r="AO662" s="3"/>
      <c r="AP662" s="3"/>
      <c r="AQ662" s="3"/>
    </row>
    <row r="663" spans="1:43" ht="15.75" customHeight="1">
      <c r="A663" s="52"/>
      <c r="B663" s="5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101"/>
      <c r="AI663" s="101"/>
      <c r="AJ663" s="112"/>
      <c r="AK663" s="3"/>
      <c r="AL663" s="1"/>
      <c r="AM663" s="2"/>
      <c r="AN663" s="3"/>
      <c r="AO663" s="3"/>
      <c r="AP663" s="3"/>
      <c r="AQ663" s="3"/>
    </row>
    <row r="664" spans="1:43" ht="15.75" customHeight="1">
      <c r="A664" s="52"/>
      <c r="B664" s="5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101"/>
      <c r="AI664" s="101"/>
      <c r="AJ664" s="112"/>
      <c r="AK664" s="3"/>
      <c r="AL664" s="1"/>
      <c r="AM664" s="2"/>
      <c r="AN664" s="3"/>
      <c r="AO664" s="3"/>
      <c r="AP664" s="3"/>
      <c r="AQ664" s="3"/>
    </row>
    <row r="665" spans="1:43" ht="15.75" customHeight="1">
      <c r="A665" s="52"/>
      <c r="B665" s="5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101"/>
      <c r="AI665" s="101"/>
      <c r="AJ665" s="112"/>
      <c r="AK665" s="3"/>
      <c r="AL665" s="1"/>
      <c r="AM665" s="2"/>
      <c r="AN665" s="3"/>
      <c r="AO665" s="3"/>
      <c r="AP665" s="3"/>
      <c r="AQ665" s="3"/>
    </row>
    <row r="666" spans="1:43" ht="15.75" customHeight="1">
      <c r="A666" s="52"/>
      <c r="B666" s="5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101"/>
      <c r="AI666" s="101"/>
      <c r="AJ666" s="112"/>
      <c r="AK666" s="3"/>
      <c r="AL666" s="1"/>
      <c r="AM666" s="2"/>
      <c r="AN666" s="3"/>
      <c r="AO666" s="3"/>
      <c r="AP666" s="3"/>
      <c r="AQ666" s="3"/>
    </row>
    <row r="667" spans="1:43" ht="15.75" customHeight="1">
      <c r="A667" s="52"/>
      <c r="B667" s="5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101"/>
      <c r="AI667" s="101"/>
      <c r="AJ667" s="112"/>
      <c r="AK667" s="3"/>
      <c r="AL667" s="1"/>
      <c r="AM667" s="2"/>
      <c r="AN667" s="3"/>
      <c r="AO667" s="3"/>
      <c r="AP667" s="3"/>
      <c r="AQ667" s="3"/>
    </row>
    <row r="668" spans="1:43" ht="15.75" customHeight="1">
      <c r="A668" s="52"/>
      <c r="B668" s="5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101"/>
      <c r="AI668" s="101"/>
      <c r="AJ668" s="112"/>
      <c r="AK668" s="3"/>
      <c r="AL668" s="1"/>
      <c r="AM668" s="2"/>
      <c r="AN668" s="3"/>
      <c r="AO668" s="3"/>
      <c r="AP668" s="3"/>
      <c r="AQ668" s="3"/>
    </row>
    <row r="669" spans="1:43" ht="15.75" customHeight="1">
      <c r="A669" s="52"/>
      <c r="B669" s="5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101"/>
      <c r="AI669" s="101"/>
      <c r="AJ669" s="112"/>
      <c r="AK669" s="3"/>
      <c r="AL669" s="1"/>
      <c r="AM669" s="2"/>
      <c r="AN669" s="3"/>
      <c r="AO669" s="3"/>
      <c r="AP669" s="3"/>
      <c r="AQ669" s="3"/>
    </row>
    <row r="670" spans="1:43" ht="15.75" customHeight="1">
      <c r="A670" s="52"/>
      <c r="B670" s="5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101"/>
      <c r="AI670" s="101"/>
      <c r="AJ670" s="112"/>
      <c r="AK670" s="3"/>
      <c r="AL670" s="1"/>
      <c r="AM670" s="2"/>
      <c r="AN670" s="3"/>
      <c r="AO670" s="3"/>
      <c r="AP670" s="3"/>
      <c r="AQ670" s="3"/>
    </row>
    <row r="671" spans="1:43" ht="15.75" customHeight="1">
      <c r="A671" s="52"/>
      <c r="B671" s="5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101"/>
      <c r="AI671" s="101"/>
      <c r="AJ671" s="112"/>
      <c r="AK671" s="3"/>
      <c r="AL671" s="1"/>
      <c r="AM671" s="2"/>
      <c r="AN671" s="3"/>
      <c r="AO671" s="3"/>
      <c r="AP671" s="3"/>
      <c r="AQ671" s="3"/>
    </row>
    <row r="672" spans="1:43" ht="15.75" customHeight="1">
      <c r="A672" s="52"/>
      <c r="B672" s="5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101"/>
      <c r="AI672" s="101"/>
      <c r="AJ672" s="112"/>
      <c r="AK672" s="3"/>
      <c r="AL672" s="1"/>
      <c r="AM672" s="2"/>
      <c r="AN672" s="3"/>
      <c r="AO672" s="3"/>
      <c r="AP672" s="3"/>
      <c r="AQ672" s="3"/>
    </row>
    <row r="673" spans="1:43" ht="15.75" customHeight="1">
      <c r="A673" s="52"/>
      <c r="B673" s="5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101"/>
      <c r="AI673" s="101"/>
      <c r="AJ673" s="112"/>
      <c r="AK673" s="3"/>
      <c r="AL673" s="1"/>
      <c r="AM673" s="2"/>
      <c r="AN673" s="3"/>
      <c r="AO673" s="3"/>
      <c r="AP673" s="3"/>
      <c r="AQ673" s="3"/>
    </row>
    <row r="674" spans="1:43" ht="15.75" customHeight="1">
      <c r="A674" s="52"/>
      <c r="B674" s="5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101"/>
      <c r="AI674" s="101"/>
      <c r="AJ674" s="112"/>
      <c r="AK674" s="3"/>
      <c r="AL674" s="1"/>
      <c r="AM674" s="2"/>
      <c r="AN674" s="3"/>
      <c r="AO674" s="3"/>
      <c r="AP674" s="3"/>
      <c r="AQ674" s="3"/>
    </row>
    <row r="675" spans="1:43" ht="15.75" customHeight="1">
      <c r="A675" s="52"/>
      <c r="B675" s="5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101"/>
      <c r="AI675" s="101"/>
      <c r="AJ675" s="112"/>
      <c r="AK675" s="3"/>
      <c r="AL675" s="1"/>
      <c r="AM675" s="2"/>
      <c r="AN675" s="3"/>
      <c r="AO675" s="3"/>
      <c r="AP675" s="3"/>
      <c r="AQ675" s="3"/>
    </row>
    <row r="676" spans="1:43" ht="15.75" customHeight="1">
      <c r="A676" s="52"/>
      <c r="B676" s="5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101"/>
      <c r="AI676" s="101"/>
      <c r="AJ676" s="112"/>
      <c r="AK676" s="3"/>
      <c r="AL676" s="1"/>
      <c r="AM676" s="2"/>
      <c r="AN676" s="3"/>
      <c r="AO676" s="3"/>
      <c r="AP676" s="3"/>
      <c r="AQ676" s="3"/>
    </row>
    <row r="677" spans="1:43" ht="15.75" customHeight="1">
      <c r="A677" s="52"/>
      <c r="B677" s="5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101"/>
      <c r="AI677" s="101"/>
      <c r="AJ677" s="112"/>
      <c r="AK677" s="3"/>
      <c r="AL677" s="1"/>
      <c r="AM677" s="2"/>
      <c r="AN677" s="3"/>
      <c r="AO677" s="3"/>
      <c r="AP677" s="3"/>
      <c r="AQ677" s="3"/>
    </row>
    <row r="678" spans="1:43" ht="15.75" customHeight="1">
      <c r="A678" s="52"/>
      <c r="B678" s="5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101"/>
      <c r="AI678" s="101"/>
      <c r="AJ678" s="112"/>
      <c r="AK678" s="3"/>
      <c r="AL678" s="1"/>
      <c r="AM678" s="2"/>
      <c r="AN678" s="3"/>
      <c r="AO678" s="3"/>
      <c r="AP678" s="3"/>
      <c r="AQ678" s="3"/>
    </row>
    <row r="679" spans="1:43" ht="15.75" customHeight="1">
      <c r="A679" s="52"/>
      <c r="B679" s="5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101"/>
      <c r="AI679" s="101"/>
      <c r="AJ679" s="112"/>
      <c r="AK679" s="3"/>
      <c r="AL679" s="1"/>
      <c r="AM679" s="2"/>
      <c r="AN679" s="3"/>
      <c r="AO679" s="3"/>
      <c r="AP679" s="3"/>
      <c r="AQ679" s="3"/>
    </row>
    <row r="680" spans="1:43" ht="15.75" customHeight="1">
      <c r="A680" s="52"/>
      <c r="B680" s="5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101"/>
      <c r="AI680" s="101"/>
      <c r="AJ680" s="112"/>
      <c r="AK680" s="3"/>
      <c r="AL680" s="1"/>
      <c r="AM680" s="2"/>
      <c r="AN680" s="3"/>
      <c r="AO680" s="3"/>
      <c r="AP680" s="3"/>
      <c r="AQ680" s="3"/>
    </row>
    <row r="681" spans="1:43" ht="15.75" customHeight="1">
      <c r="A681" s="52"/>
      <c r="B681" s="5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101"/>
      <c r="AI681" s="101"/>
      <c r="AJ681" s="112"/>
      <c r="AK681" s="3"/>
      <c r="AL681" s="1"/>
      <c r="AM681" s="2"/>
      <c r="AN681" s="3"/>
      <c r="AO681" s="3"/>
      <c r="AP681" s="3"/>
      <c r="AQ681" s="3"/>
    </row>
    <row r="682" spans="1:43" ht="15.75" customHeight="1">
      <c r="A682" s="52"/>
      <c r="B682" s="5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101"/>
      <c r="AI682" s="101"/>
      <c r="AJ682" s="112"/>
      <c r="AK682" s="3"/>
      <c r="AL682" s="1"/>
      <c r="AM682" s="2"/>
      <c r="AN682" s="3"/>
      <c r="AO682" s="3"/>
      <c r="AP682" s="3"/>
      <c r="AQ682" s="3"/>
    </row>
    <row r="683" spans="1:43" ht="15.75" customHeight="1">
      <c r="A683" s="52"/>
      <c r="B683" s="5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101"/>
      <c r="AI683" s="101"/>
      <c r="AJ683" s="112"/>
      <c r="AK683" s="3"/>
      <c r="AL683" s="1"/>
      <c r="AM683" s="2"/>
      <c r="AN683" s="3"/>
      <c r="AO683" s="3"/>
      <c r="AP683" s="3"/>
      <c r="AQ683" s="3"/>
    </row>
    <row r="684" spans="1:43" ht="15.75" customHeight="1">
      <c r="A684" s="52"/>
      <c r="B684" s="5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101"/>
      <c r="AI684" s="101"/>
      <c r="AJ684" s="112"/>
      <c r="AK684" s="3"/>
      <c r="AL684" s="1"/>
      <c r="AM684" s="2"/>
      <c r="AN684" s="3"/>
      <c r="AO684" s="3"/>
      <c r="AP684" s="3"/>
      <c r="AQ684" s="3"/>
    </row>
    <row r="685" spans="1:43" ht="15.75" customHeight="1">
      <c r="A685" s="52"/>
      <c r="B685" s="5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101"/>
      <c r="AI685" s="101"/>
      <c r="AJ685" s="112"/>
      <c r="AK685" s="3"/>
      <c r="AL685" s="1"/>
      <c r="AM685" s="2"/>
      <c r="AN685" s="3"/>
      <c r="AO685" s="3"/>
      <c r="AP685" s="3"/>
      <c r="AQ685" s="3"/>
    </row>
    <row r="686" spans="1:43" ht="15.75" customHeight="1">
      <c r="A686" s="52"/>
      <c r="B686" s="5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101"/>
      <c r="AI686" s="101"/>
      <c r="AJ686" s="112"/>
      <c r="AK686" s="3"/>
      <c r="AL686" s="1"/>
      <c r="AM686" s="2"/>
      <c r="AN686" s="3"/>
      <c r="AO686" s="3"/>
      <c r="AP686" s="3"/>
      <c r="AQ686" s="3"/>
    </row>
    <row r="687" spans="1:43" ht="15.75" customHeight="1">
      <c r="A687" s="52"/>
      <c r="B687" s="5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101"/>
      <c r="AI687" s="101"/>
      <c r="AJ687" s="112"/>
      <c r="AK687" s="3"/>
      <c r="AL687" s="1"/>
      <c r="AM687" s="2"/>
      <c r="AN687" s="3"/>
      <c r="AO687" s="3"/>
      <c r="AP687" s="3"/>
      <c r="AQ687" s="3"/>
    </row>
    <row r="688" spans="1:43" ht="15.75" customHeight="1">
      <c r="A688" s="52"/>
      <c r="B688" s="5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101"/>
      <c r="AI688" s="101"/>
      <c r="AJ688" s="112"/>
      <c r="AK688" s="3"/>
      <c r="AL688" s="1"/>
      <c r="AM688" s="2"/>
      <c r="AN688" s="3"/>
      <c r="AO688" s="3"/>
      <c r="AP688" s="3"/>
      <c r="AQ688" s="3"/>
    </row>
    <row r="689" spans="1:43" ht="15.75" customHeight="1">
      <c r="A689" s="52"/>
      <c r="B689" s="5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101"/>
      <c r="AI689" s="101"/>
      <c r="AJ689" s="112"/>
      <c r="AK689" s="3"/>
      <c r="AL689" s="1"/>
      <c r="AM689" s="2"/>
      <c r="AN689" s="3"/>
      <c r="AO689" s="3"/>
      <c r="AP689" s="3"/>
      <c r="AQ689" s="3"/>
    </row>
    <row r="690" spans="1:43" ht="15.75" customHeight="1">
      <c r="A690" s="52"/>
      <c r="B690" s="5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101"/>
      <c r="AI690" s="101"/>
      <c r="AJ690" s="112"/>
      <c r="AK690" s="3"/>
      <c r="AL690" s="1"/>
      <c r="AM690" s="2"/>
      <c r="AN690" s="3"/>
      <c r="AO690" s="3"/>
      <c r="AP690" s="3"/>
      <c r="AQ690" s="3"/>
    </row>
    <row r="691" spans="1:43" ht="15.75" customHeight="1">
      <c r="A691" s="52"/>
      <c r="B691" s="5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101"/>
      <c r="AI691" s="101"/>
      <c r="AJ691" s="112"/>
      <c r="AK691" s="3"/>
      <c r="AL691" s="1"/>
      <c r="AM691" s="2"/>
      <c r="AN691" s="3"/>
      <c r="AO691" s="3"/>
      <c r="AP691" s="3"/>
      <c r="AQ691" s="3"/>
    </row>
    <row r="692" spans="1:43" ht="15.75" customHeight="1">
      <c r="A692" s="52"/>
      <c r="B692" s="5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101"/>
      <c r="AI692" s="101"/>
      <c r="AJ692" s="112"/>
      <c r="AK692" s="3"/>
      <c r="AL692" s="1"/>
      <c r="AM692" s="2"/>
      <c r="AN692" s="3"/>
      <c r="AO692" s="3"/>
      <c r="AP692" s="3"/>
      <c r="AQ692" s="3"/>
    </row>
    <row r="693" spans="1:43" ht="15.75" customHeight="1">
      <c r="A693" s="52"/>
      <c r="B693" s="5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101"/>
      <c r="AI693" s="101"/>
      <c r="AJ693" s="112"/>
      <c r="AK693" s="3"/>
      <c r="AL693" s="1"/>
      <c r="AM693" s="2"/>
      <c r="AN693" s="3"/>
      <c r="AO693" s="3"/>
      <c r="AP693" s="3"/>
      <c r="AQ693" s="3"/>
    </row>
    <row r="694" spans="1:43" ht="15.75" customHeight="1">
      <c r="A694" s="52"/>
      <c r="B694" s="5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101"/>
      <c r="AI694" s="101"/>
      <c r="AJ694" s="112"/>
      <c r="AK694" s="3"/>
      <c r="AL694" s="1"/>
      <c r="AM694" s="2"/>
      <c r="AN694" s="3"/>
      <c r="AO694" s="3"/>
      <c r="AP694" s="3"/>
      <c r="AQ694" s="3"/>
    </row>
    <row r="695" spans="1:43" ht="15.75" customHeight="1">
      <c r="A695" s="52"/>
      <c r="B695" s="5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101"/>
      <c r="AI695" s="101"/>
      <c r="AJ695" s="112"/>
      <c r="AK695" s="3"/>
      <c r="AL695" s="1"/>
      <c r="AM695" s="2"/>
      <c r="AN695" s="3"/>
      <c r="AO695" s="3"/>
      <c r="AP695" s="3"/>
      <c r="AQ695" s="3"/>
    </row>
    <row r="696" spans="1:43" ht="15.75" customHeight="1">
      <c r="A696" s="52"/>
      <c r="B696" s="5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101"/>
      <c r="AI696" s="101"/>
      <c r="AJ696" s="112"/>
      <c r="AK696" s="3"/>
      <c r="AL696" s="1"/>
      <c r="AM696" s="2"/>
      <c r="AN696" s="3"/>
      <c r="AO696" s="3"/>
      <c r="AP696" s="3"/>
      <c r="AQ696" s="3"/>
    </row>
    <row r="697" spans="1:43" ht="15.75" customHeight="1">
      <c r="A697" s="52"/>
      <c r="B697" s="5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101"/>
      <c r="AI697" s="101"/>
      <c r="AJ697" s="112"/>
      <c r="AK697" s="3"/>
      <c r="AL697" s="1"/>
      <c r="AM697" s="2"/>
      <c r="AN697" s="3"/>
      <c r="AO697" s="3"/>
      <c r="AP697" s="3"/>
      <c r="AQ697" s="3"/>
    </row>
    <row r="698" spans="1:43" ht="15.75" customHeight="1">
      <c r="A698" s="52"/>
      <c r="B698" s="5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101"/>
      <c r="AI698" s="101"/>
      <c r="AJ698" s="112"/>
      <c r="AK698" s="3"/>
      <c r="AL698" s="1"/>
      <c r="AM698" s="2"/>
      <c r="AN698" s="3"/>
      <c r="AO698" s="3"/>
      <c r="AP698" s="3"/>
      <c r="AQ698" s="3"/>
    </row>
    <row r="699" spans="1:43" ht="15.75" customHeight="1">
      <c r="A699" s="52"/>
      <c r="B699" s="5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101"/>
      <c r="AI699" s="101"/>
      <c r="AJ699" s="112"/>
      <c r="AK699" s="3"/>
      <c r="AL699" s="1"/>
      <c r="AM699" s="2"/>
      <c r="AN699" s="3"/>
      <c r="AO699" s="3"/>
      <c r="AP699" s="3"/>
      <c r="AQ699" s="3"/>
    </row>
    <row r="700" spans="1:43" ht="15.75" customHeight="1">
      <c r="A700" s="52"/>
      <c r="B700" s="5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101"/>
      <c r="AI700" s="101"/>
      <c r="AJ700" s="112"/>
      <c r="AK700" s="3"/>
      <c r="AL700" s="1"/>
      <c r="AM700" s="2"/>
      <c r="AN700" s="3"/>
      <c r="AO700" s="3"/>
      <c r="AP700" s="3"/>
      <c r="AQ700" s="3"/>
    </row>
    <row r="701" spans="1:43" ht="15.75" customHeight="1">
      <c r="A701" s="52"/>
      <c r="B701" s="5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101"/>
      <c r="AI701" s="101"/>
      <c r="AJ701" s="112"/>
      <c r="AK701" s="3"/>
      <c r="AL701" s="1"/>
      <c r="AM701" s="2"/>
      <c r="AN701" s="3"/>
      <c r="AO701" s="3"/>
      <c r="AP701" s="3"/>
      <c r="AQ701" s="3"/>
    </row>
    <row r="702" spans="1:43" ht="15.75" customHeight="1">
      <c r="A702" s="52"/>
      <c r="B702" s="5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101"/>
      <c r="AI702" s="101"/>
      <c r="AJ702" s="112"/>
      <c r="AK702" s="3"/>
      <c r="AL702" s="1"/>
      <c r="AM702" s="2"/>
      <c r="AN702" s="3"/>
      <c r="AO702" s="3"/>
      <c r="AP702" s="3"/>
      <c r="AQ702" s="3"/>
    </row>
    <row r="703" spans="1:43" ht="15.75" customHeight="1">
      <c r="A703" s="52"/>
      <c r="B703" s="5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101"/>
      <c r="AI703" s="101"/>
      <c r="AJ703" s="112"/>
      <c r="AK703" s="3"/>
      <c r="AL703" s="1"/>
      <c r="AM703" s="2"/>
      <c r="AN703" s="3"/>
      <c r="AO703" s="3"/>
      <c r="AP703" s="3"/>
      <c r="AQ703" s="3"/>
    </row>
    <row r="704" spans="1:43" ht="15.75" customHeight="1">
      <c r="A704" s="52"/>
      <c r="B704" s="5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101"/>
      <c r="AI704" s="101"/>
      <c r="AJ704" s="112"/>
      <c r="AK704" s="3"/>
      <c r="AL704" s="1"/>
      <c r="AM704" s="2"/>
      <c r="AN704" s="3"/>
      <c r="AO704" s="3"/>
      <c r="AP704" s="3"/>
      <c r="AQ704" s="3"/>
    </row>
    <row r="705" spans="1:43" ht="15.75" customHeight="1">
      <c r="A705" s="52"/>
      <c r="B705" s="5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101"/>
      <c r="AI705" s="101"/>
      <c r="AJ705" s="112"/>
      <c r="AK705" s="3"/>
      <c r="AL705" s="1"/>
      <c r="AM705" s="2"/>
      <c r="AN705" s="3"/>
      <c r="AO705" s="3"/>
      <c r="AP705" s="3"/>
      <c r="AQ705" s="3"/>
    </row>
    <row r="706" spans="1:43" ht="15.75" customHeight="1">
      <c r="A706" s="52"/>
      <c r="B706" s="5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101"/>
      <c r="AI706" s="101"/>
      <c r="AJ706" s="112"/>
      <c r="AK706" s="3"/>
      <c r="AL706" s="1"/>
      <c r="AM706" s="2"/>
      <c r="AN706" s="3"/>
      <c r="AO706" s="3"/>
      <c r="AP706" s="3"/>
      <c r="AQ706" s="3"/>
    </row>
    <row r="707" spans="1:43" ht="15.75" customHeight="1">
      <c r="A707" s="52"/>
      <c r="B707" s="5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101"/>
      <c r="AI707" s="101"/>
      <c r="AJ707" s="112"/>
      <c r="AK707" s="3"/>
      <c r="AL707" s="1"/>
      <c r="AM707" s="2"/>
      <c r="AN707" s="3"/>
      <c r="AO707" s="3"/>
      <c r="AP707" s="3"/>
      <c r="AQ707" s="3"/>
    </row>
    <row r="708" spans="1:43" ht="15.75" customHeight="1">
      <c r="A708" s="52"/>
      <c r="B708" s="5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101"/>
      <c r="AI708" s="101"/>
      <c r="AJ708" s="112"/>
      <c r="AK708" s="3"/>
      <c r="AL708" s="1"/>
      <c r="AM708" s="2"/>
      <c r="AN708" s="3"/>
      <c r="AO708" s="3"/>
      <c r="AP708" s="3"/>
      <c r="AQ708" s="3"/>
    </row>
    <row r="709" spans="1:43" ht="15.75" customHeight="1">
      <c r="A709" s="52"/>
      <c r="B709" s="5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101"/>
      <c r="AI709" s="101"/>
      <c r="AJ709" s="112"/>
      <c r="AK709" s="3"/>
      <c r="AL709" s="1"/>
      <c r="AM709" s="2"/>
      <c r="AN709" s="3"/>
      <c r="AO709" s="3"/>
      <c r="AP709" s="3"/>
      <c r="AQ709" s="3"/>
    </row>
    <row r="710" spans="1:43" ht="15.75" customHeight="1">
      <c r="A710" s="52"/>
      <c r="B710" s="5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101"/>
      <c r="AI710" s="101"/>
      <c r="AJ710" s="112"/>
      <c r="AK710" s="3"/>
      <c r="AL710" s="1"/>
      <c r="AM710" s="2"/>
      <c r="AN710" s="3"/>
      <c r="AO710" s="3"/>
      <c r="AP710" s="3"/>
      <c r="AQ710" s="3"/>
    </row>
    <row r="711" spans="1:43" ht="15.75" customHeight="1">
      <c r="A711" s="52"/>
      <c r="B711" s="5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101"/>
      <c r="AI711" s="101"/>
      <c r="AJ711" s="112"/>
      <c r="AK711" s="3"/>
      <c r="AL711" s="1"/>
      <c r="AM711" s="2"/>
      <c r="AN711" s="3"/>
      <c r="AO711" s="3"/>
      <c r="AP711" s="3"/>
      <c r="AQ711" s="3"/>
    </row>
    <row r="712" spans="1:43" ht="15.75" customHeight="1">
      <c r="A712" s="52"/>
      <c r="B712" s="5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101"/>
      <c r="AI712" s="101"/>
      <c r="AJ712" s="112"/>
      <c r="AK712" s="3"/>
      <c r="AL712" s="1"/>
      <c r="AM712" s="2"/>
      <c r="AN712" s="3"/>
      <c r="AO712" s="3"/>
      <c r="AP712" s="3"/>
      <c r="AQ712" s="3"/>
    </row>
    <row r="713" spans="1:43" ht="15.75" customHeight="1">
      <c r="A713" s="52"/>
      <c r="B713" s="5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101"/>
      <c r="AI713" s="101"/>
      <c r="AJ713" s="112"/>
      <c r="AK713" s="3"/>
      <c r="AL713" s="1"/>
      <c r="AM713" s="2"/>
      <c r="AN713" s="3"/>
      <c r="AO713" s="3"/>
      <c r="AP713" s="3"/>
      <c r="AQ713" s="3"/>
    </row>
    <row r="714" spans="1:43" ht="15.75" customHeight="1">
      <c r="A714" s="52"/>
      <c r="B714" s="5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101"/>
      <c r="AI714" s="101"/>
      <c r="AJ714" s="112"/>
      <c r="AK714" s="3"/>
      <c r="AL714" s="1"/>
      <c r="AM714" s="2"/>
      <c r="AN714" s="3"/>
      <c r="AO714" s="3"/>
      <c r="AP714" s="3"/>
      <c r="AQ714" s="3"/>
    </row>
    <row r="715" spans="1:43" ht="15.75" customHeight="1">
      <c r="A715" s="52"/>
      <c r="B715" s="5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101"/>
      <c r="AI715" s="101"/>
      <c r="AJ715" s="112"/>
      <c r="AK715" s="3"/>
      <c r="AL715" s="1"/>
      <c r="AM715" s="2"/>
      <c r="AN715" s="3"/>
      <c r="AO715" s="3"/>
      <c r="AP715" s="3"/>
      <c r="AQ715" s="3"/>
    </row>
    <row r="716" spans="1:43" ht="15.75" customHeight="1">
      <c r="A716" s="52"/>
      <c r="B716" s="5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101"/>
      <c r="AI716" s="101"/>
      <c r="AJ716" s="112"/>
      <c r="AK716" s="3"/>
      <c r="AL716" s="1"/>
      <c r="AM716" s="2"/>
      <c r="AN716" s="3"/>
      <c r="AO716" s="3"/>
      <c r="AP716" s="3"/>
      <c r="AQ716" s="3"/>
    </row>
    <row r="717" spans="1:43" ht="15.75" customHeight="1">
      <c r="A717" s="52"/>
      <c r="B717" s="5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101"/>
      <c r="AI717" s="101"/>
      <c r="AJ717" s="112"/>
      <c r="AK717" s="3"/>
      <c r="AL717" s="1"/>
      <c r="AM717" s="2"/>
      <c r="AN717" s="3"/>
      <c r="AO717" s="3"/>
      <c r="AP717" s="3"/>
      <c r="AQ717" s="3"/>
    </row>
    <row r="718" spans="1:43" ht="15.75" customHeight="1">
      <c r="A718" s="52"/>
      <c r="B718" s="5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101"/>
      <c r="AI718" s="101"/>
      <c r="AJ718" s="112"/>
      <c r="AK718" s="3"/>
      <c r="AL718" s="1"/>
      <c r="AM718" s="2"/>
      <c r="AN718" s="3"/>
      <c r="AO718" s="3"/>
      <c r="AP718" s="3"/>
      <c r="AQ718" s="3"/>
    </row>
    <row r="719" spans="1:43" ht="15.75" customHeight="1">
      <c r="A719" s="52"/>
      <c r="B719" s="5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101"/>
      <c r="AI719" s="101"/>
      <c r="AJ719" s="112"/>
      <c r="AK719" s="3"/>
      <c r="AL719" s="1"/>
      <c r="AM719" s="2"/>
      <c r="AN719" s="3"/>
      <c r="AO719" s="3"/>
      <c r="AP719" s="3"/>
      <c r="AQ719" s="3"/>
    </row>
    <row r="720" spans="1:43" ht="15.75" customHeight="1">
      <c r="A720" s="52"/>
      <c r="B720" s="5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101"/>
      <c r="AI720" s="101"/>
      <c r="AJ720" s="112"/>
      <c r="AK720" s="3"/>
      <c r="AL720" s="1"/>
      <c r="AM720" s="2"/>
      <c r="AN720" s="3"/>
      <c r="AO720" s="3"/>
      <c r="AP720" s="3"/>
      <c r="AQ720" s="3"/>
    </row>
    <row r="721" spans="1:43" ht="15.75" customHeight="1">
      <c r="A721" s="52"/>
      <c r="B721" s="5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101"/>
      <c r="AI721" s="101"/>
      <c r="AJ721" s="112"/>
      <c r="AK721" s="3"/>
      <c r="AL721" s="1"/>
      <c r="AM721" s="2"/>
      <c r="AN721" s="3"/>
      <c r="AO721" s="3"/>
      <c r="AP721" s="3"/>
      <c r="AQ721" s="3"/>
    </row>
    <row r="722" spans="1:43" ht="15.75" customHeight="1">
      <c r="A722" s="52"/>
      <c r="B722" s="5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101"/>
      <c r="AI722" s="101"/>
      <c r="AJ722" s="112"/>
      <c r="AK722" s="3"/>
      <c r="AL722" s="1"/>
      <c r="AM722" s="2"/>
      <c r="AN722" s="3"/>
      <c r="AO722" s="3"/>
      <c r="AP722" s="3"/>
      <c r="AQ722" s="3"/>
    </row>
    <row r="723" spans="1:43" ht="15.75" customHeight="1">
      <c r="A723" s="52"/>
      <c r="B723" s="5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101"/>
      <c r="AI723" s="101"/>
      <c r="AJ723" s="112"/>
      <c r="AK723" s="3"/>
      <c r="AL723" s="1"/>
      <c r="AM723" s="2"/>
      <c r="AN723" s="3"/>
      <c r="AO723" s="3"/>
      <c r="AP723" s="3"/>
      <c r="AQ723" s="3"/>
    </row>
    <row r="724" spans="1:43" ht="15.75" customHeight="1">
      <c r="A724" s="52"/>
      <c r="B724" s="5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101"/>
      <c r="AI724" s="101"/>
      <c r="AJ724" s="112"/>
      <c r="AK724" s="3"/>
      <c r="AL724" s="1"/>
      <c r="AM724" s="2"/>
      <c r="AN724" s="3"/>
      <c r="AO724" s="3"/>
      <c r="AP724" s="3"/>
      <c r="AQ724" s="3"/>
    </row>
    <row r="725" spans="1:43" ht="15.75" customHeight="1">
      <c r="A725" s="52"/>
      <c r="B725" s="5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101"/>
      <c r="AI725" s="101"/>
      <c r="AJ725" s="112"/>
      <c r="AK725" s="3"/>
      <c r="AL725" s="1"/>
      <c r="AM725" s="2"/>
      <c r="AN725" s="3"/>
      <c r="AO725" s="3"/>
      <c r="AP725" s="3"/>
      <c r="AQ725" s="3"/>
    </row>
    <row r="726" spans="1:43" ht="15.75" customHeight="1">
      <c r="A726" s="52"/>
      <c r="B726" s="5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101"/>
      <c r="AI726" s="101"/>
      <c r="AJ726" s="112"/>
      <c r="AK726" s="3"/>
      <c r="AL726" s="1"/>
      <c r="AM726" s="2"/>
      <c r="AN726" s="3"/>
      <c r="AO726" s="3"/>
      <c r="AP726" s="3"/>
      <c r="AQ726" s="3"/>
    </row>
    <row r="727" spans="1:43" ht="15.75" customHeight="1">
      <c r="A727" s="52"/>
      <c r="B727" s="5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101"/>
      <c r="AI727" s="101"/>
      <c r="AJ727" s="112"/>
      <c r="AK727" s="3"/>
      <c r="AL727" s="1"/>
      <c r="AM727" s="2"/>
      <c r="AN727" s="3"/>
      <c r="AO727" s="3"/>
      <c r="AP727" s="3"/>
      <c r="AQ727" s="3"/>
    </row>
    <row r="728" spans="1:43" ht="15.75" customHeight="1">
      <c r="A728" s="52"/>
      <c r="B728" s="5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101"/>
      <c r="AI728" s="101"/>
      <c r="AJ728" s="112"/>
      <c r="AK728" s="3"/>
      <c r="AL728" s="1"/>
      <c r="AM728" s="2"/>
      <c r="AN728" s="3"/>
      <c r="AO728" s="3"/>
      <c r="AP728" s="3"/>
      <c r="AQ728" s="3"/>
    </row>
    <row r="729" spans="1:43" ht="15.75" customHeight="1">
      <c r="A729" s="52"/>
      <c r="B729" s="5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101"/>
      <c r="AI729" s="101"/>
      <c r="AJ729" s="112"/>
      <c r="AK729" s="3"/>
      <c r="AL729" s="1"/>
      <c r="AM729" s="2"/>
      <c r="AN729" s="3"/>
      <c r="AO729" s="3"/>
      <c r="AP729" s="3"/>
      <c r="AQ729" s="3"/>
    </row>
    <row r="730" spans="1:43" ht="15.75" customHeight="1">
      <c r="A730" s="52"/>
      <c r="B730" s="5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101"/>
      <c r="AI730" s="101"/>
      <c r="AJ730" s="112"/>
      <c r="AK730" s="3"/>
      <c r="AL730" s="1"/>
      <c r="AM730" s="2"/>
      <c r="AN730" s="3"/>
      <c r="AO730" s="3"/>
      <c r="AP730" s="3"/>
      <c r="AQ730" s="3"/>
    </row>
    <row r="731" spans="1:43" ht="15.75" customHeight="1">
      <c r="A731" s="52"/>
      <c r="B731" s="5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101"/>
      <c r="AI731" s="101"/>
      <c r="AJ731" s="112"/>
      <c r="AK731" s="3"/>
      <c r="AL731" s="1"/>
      <c r="AM731" s="2"/>
      <c r="AN731" s="3"/>
      <c r="AO731" s="3"/>
      <c r="AP731" s="3"/>
      <c r="AQ731" s="3"/>
    </row>
    <row r="732" spans="1:43" ht="15.75" customHeight="1">
      <c r="A732" s="52"/>
      <c r="B732" s="5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101"/>
      <c r="AI732" s="101"/>
      <c r="AJ732" s="112"/>
      <c r="AK732" s="3"/>
      <c r="AL732" s="1"/>
      <c r="AM732" s="2"/>
      <c r="AN732" s="3"/>
      <c r="AO732" s="3"/>
      <c r="AP732" s="3"/>
      <c r="AQ732" s="3"/>
    </row>
    <row r="733" spans="1:43" ht="15.75" customHeight="1">
      <c r="A733" s="52"/>
      <c r="B733" s="5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101"/>
      <c r="AI733" s="101"/>
      <c r="AJ733" s="112"/>
      <c r="AK733" s="3"/>
      <c r="AL733" s="1"/>
      <c r="AM733" s="2"/>
      <c r="AN733" s="3"/>
      <c r="AO733" s="3"/>
      <c r="AP733" s="3"/>
      <c r="AQ733" s="3"/>
    </row>
    <row r="734" spans="1:43" ht="15.75" customHeight="1">
      <c r="A734" s="52"/>
      <c r="B734" s="5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101"/>
      <c r="AI734" s="101"/>
      <c r="AJ734" s="112"/>
      <c r="AK734" s="3"/>
      <c r="AL734" s="1"/>
      <c r="AM734" s="2"/>
      <c r="AN734" s="3"/>
      <c r="AO734" s="3"/>
      <c r="AP734" s="3"/>
      <c r="AQ734" s="3"/>
    </row>
    <row r="735" spans="1:43" ht="15.75" customHeight="1">
      <c r="A735" s="52"/>
      <c r="B735" s="5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101"/>
      <c r="AI735" s="101"/>
      <c r="AJ735" s="112"/>
      <c r="AK735" s="3"/>
      <c r="AL735" s="1"/>
      <c r="AM735" s="2"/>
      <c r="AN735" s="3"/>
      <c r="AO735" s="3"/>
      <c r="AP735" s="3"/>
      <c r="AQ735" s="3"/>
    </row>
    <row r="736" spans="1:43" ht="15.75" customHeight="1">
      <c r="A736" s="52"/>
      <c r="B736" s="5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101"/>
      <c r="AI736" s="101"/>
      <c r="AJ736" s="112"/>
      <c r="AK736" s="3"/>
      <c r="AL736" s="1"/>
      <c r="AM736" s="2"/>
      <c r="AN736" s="3"/>
      <c r="AO736" s="3"/>
      <c r="AP736" s="3"/>
      <c r="AQ736" s="3"/>
    </row>
    <row r="737" spans="1:43" ht="15.75" customHeight="1">
      <c r="A737" s="52"/>
      <c r="B737" s="5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101"/>
      <c r="AI737" s="101"/>
      <c r="AJ737" s="112"/>
      <c r="AK737" s="3"/>
      <c r="AL737" s="1"/>
      <c r="AM737" s="2"/>
      <c r="AN737" s="3"/>
      <c r="AO737" s="3"/>
      <c r="AP737" s="3"/>
      <c r="AQ737" s="3"/>
    </row>
    <row r="738" spans="1:43" ht="15.75" customHeight="1">
      <c r="A738" s="52"/>
      <c r="B738" s="5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101"/>
      <c r="AI738" s="101"/>
      <c r="AJ738" s="112"/>
      <c r="AK738" s="3"/>
      <c r="AL738" s="1"/>
      <c r="AM738" s="2"/>
      <c r="AN738" s="3"/>
      <c r="AO738" s="3"/>
      <c r="AP738" s="3"/>
      <c r="AQ738" s="3"/>
    </row>
    <row r="739" spans="1:43" ht="15.75" customHeight="1">
      <c r="A739" s="52"/>
      <c r="B739" s="5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101"/>
      <c r="AI739" s="101"/>
      <c r="AJ739" s="112"/>
      <c r="AK739" s="3"/>
      <c r="AL739" s="1"/>
      <c r="AM739" s="2"/>
      <c r="AN739" s="3"/>
      <c r="AO739" s="3"/>
      <c r="AP739" s="3"/>
      <c r="AQ739" s="3"/>
    </row>
    <row r="740" spans="1:43" ht="15.75" customHeight="1">
      <c r="A740" s="52"/>
      <c r="B740" s="5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101"/>
      <c r="AI740" s="101"/>
      <c r="AJ740" s="112"/>
      <c r="AK740" s="3"/>
      <c r="AL740" s="1"/>
      <c r="AM740" s="2"/>
      <c r="AN740" s="3"/>
      <c r="AO740" s="3"/>
      <c r="AP740" s="3"/>
      <c r="AQ740" s="3"/>
    </row>
    <row r="741" spans="1:43" ht="15.75" customHeight="1">
      <c r="A741" s="52"/>
      <c r="B741" s="5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101"/>
      <c r="AI741" s="101"/>
      <c r="AJ741" s="112"/>
      <c r="AK741" s="3"/>
      <c r="AL741" s="1"/>
      <c r="AM741" s="2"/>
      <c r="AN741" s="3"/>
      <c r="AO741" s="3"/>
      <c r="AP741" s="3"/>
      <c r="AQ741" s="3"/>
    </row>
    <row r="742" spans="1:43" ht="15.75" customHeight="1">
      <c r="A742" s="52"/>
      <c r="B742" s="5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101"/>
      <c r="AI742" s="101"/>
      <c r="AJ742" s="112"/>
      <c r="AK742" s="3"/>
      <c r="AL742" s="1"/>
      <c r="AM742" s="2"/>
      <c r="AN742" s="3"/>
      <c r="AO742" s="3"/>
      <c r="AP742" s="3"/>
      <c r="AQ742" s="3"/>
    </row>
    <row r="743" spans="1:43" ht="15.75" customHeight="1">
      <c r="A743" s="52"/>
      <c r="B743" s="5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101"/>
      <c r="AI743" s="101"/>
      <c r="AJ743" s="112"/>
      <c r="AK743" s="3"/>
      <c r="AL743" s="1"/>
      <c r="AM743" s="2"/>
      <c r="AN743" s="3"/>
      <c r="AO743" s="3"/>
      <c r="AP743" s="3"/>
      <c r="AQ743" s="3"/>
    </row>
    <row r="744" spans="1:43" ht="15.75" customHeight="1">
      <c r="A744" s="52"/>
      <c r="B744" s="5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101"/>
      <c r="AI744" s="101"/>
      <c r="AJ744" s="112"/>
      <c r="AK744" s="3"/>
      <c r="AL744" s="1"/>
      <c r="AM744" s="2"/>
      <c r="AN744" s="3"/>
      <c r="AO744" s="3"/>
      <c r="AP744" s="3"/>
      <c r="AQ744" s="3"/>
    </row>
    <row r="745" spans="1:43" ht="15.75" customHeight="1">
      <c r="A745" s="52"/>
      <c r="B745" s="5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101"/>
      <c r="AI745" s="101"/>
      <c r="AJ745" s="112"/>
      <c r="AK745" s="3"/>
      <c r="AL745" s="1"/>
      <c r="AM745" s="2"/>
      <c r="AN745" s="3"/>
      <c r="AO745" s="3"/>
      <c r="AP745" s="3"/>
      <c r="AQ745" s="3"/>
    </row>
    <row r="746" spans="1:43" ht="15.75" customHeight="1">
      <c r="A746" s="52"/>
      <c r="B746" s="5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101"/>
      <c r="AI746" s="101"/>
      <c r="AJ746" s="112"/>
      <c r="AK746" s="3"/>
      <c r="AL746" s="1"/>
      <c r="AM746" s="2"/>
      <c r="AN746" s="3"/>
      <c r="AO746" s="3"/>
      <c r="AP746" s="3"/>
      <c r="AQ746" s="3"/>
    </row>
    <row r="747" spans="1:43" ht="15.75" customHeight="1">
      <c r="A747" s="52"/>
      <c r="B747" s="5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101"/>
      <c r="AI747" s="101"/>
      <c r="AJ747" s="112"/>
      <c r="AK747" s="3"/>
      <c r="AL747" s="1"/>
      <c r="AM747" s="2"/>
      <c r="AN747" s="3"/>
      <c r="AO747" s="3"/>
      <c r="AP747" s="3"/>
      <c r="AQ747" s="3"/>
    </row>
    <row r="748" spans="1:43" ht="15.75" customHeight="1">
      <c r="A748" s="52"/>
      <c r="B748" s="5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101"/>
      <c r="AI748" s="101"/>
      <c r="AJ748" s="112"/>
      <c r="AK748" s="3"/>
      <c r="AL748" s="1"/>
      <c r="AM748" s="2"/>
      <c r="AN748" s="3"/>
      <c r="AO748" s="3"/>
      <c r="AP748" s="3"/>
      <c r="AQ748" s="3"/>
    </row>
    <row r="749" spans="1:43" ht="15.75" customHeight="1">
      <c r="A749" s="52"/>
      <c r="B749" s="5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101"/>
      <c r="AI749" s="101"/>
      <c r="AJ749" s="112"/>
      <c r="AK749" s="3"/>
      <c r="AL749" s="1"/>
      <c r="AM749" s="2"/>
      <c r="AN749" s="3"/>
      <c r="AO749" s="3"/>
      <c r="AP749" s="3"/>
      <c r="AQ749" s="3"/>
    </row>
    <row r="750" spans="1:43" ht="15.75" customHeight="1">
      <c r="A750" s="52"/>
      <c r="B750" s="5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101"/>
      <c r="AI750" s="101"/>
      <c r="AJ750" s="112"/>
      <c r="AK750" s="3"/>
      <c r="AL750" s="1"/>
      <c r="AM750" s="2"/>
      <c r="AN750" s="3"/>
      <c r="AO750" s="3"/>
      <c r="AP750" s="3"/>
      <c r="AQ750" s="3"/>
    </row>
    <row r="751" spans="1:43" ht="15.75" customHeight="1">
      <c r="A751" s="52"/>
      <c r="B751" s="5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101"/>
      <c r="AI751" s="101"/>
      <c r="AJ751" s="112"/>
      <c r="AK751" s="3"/>
      <c r="AL751" s="1"/>
      <c r="AM751" s="2"/>
      <c r="AN751" s="3"/>
      <c r="AO751" s="3"/>
      <c r="AP751" s="3"/>
      <c r="AQ751" s="3"/>
    </row>
    <row r="752" spans="1:43" ht="15.75" customHeight="1">
      <c r="A752" s="52"/>
      <c r="B752" s="5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101"/>
      <c r="AI752" s="101"/>
      <c r="AJ752" s="112"/>
      <c r="AK752" s="3"/>
      <c r="AL752" s="1"/>
      <c r="AM752" s="2"/>
      <c r="AN752" s="3"/>
      <c r="AO752" s="3"/>
      <c r="AP752" s="3"/>
      <c r="AQ752" s="3"/>
    </row>
    <row r="753" spans="1:43" ht="15.75" customHeight="1">
      <c r="A753" s="52"/>
      <c r="B753" s="5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101"/>
      <c r="AI753" s="101"/>
      <c r="AJ753" s="112"/>
      <c r="AK753" s="3"/>
      <c r="AL753" s="1"/>
      <c r="AM753" s="2"/>
      <c r="AN753" s="3"/>
      <c r="AO753" s="3"/>
      <c r="AP753" s="3"/>
      <c r="AQ753" s="3"/>
    </row>
    <row r="754" spans="1:43" ht="15.75" customHeight="1">
      <c r="A754" s="52"/>
      <c r="B754" s="5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101"/>
      <c r="AI754" s="101"/>
      <c r="AJ754" s="112"/>
      <c r="AK754" s="3"/>
      <c r="AL754" s="1"/>
      <c r="AM754" s="2"/>
      <c r="AN754" s="3"/>
      <c r="AO754" s="3"/>
      <c r="AP754" s="3"/>
      <c r="AQ754" s="3"/>
    </row>
    <row r="755" spans="1:43" ht="15.75" customHeight="1">
      <c r="A755" s="52"/>
      <c r="B755" s="5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101"/>
      <c r="AI755" s="101"/>
      <c r="AJ755" s="112"/>
      <c r="AK755" s="3"/>
      <c r="AL755" s="1"/>
      <c r="AM755" s="2"/>
      <c r="AN755" s="3"/>
      <c r="AO755" s="3"/>
      <c r="AP755" s="3"/>
      <c r="AQ755" s="3"/>
    </row>
    <row r="756" spans="1:43" ht="15.75" customHeight="1">
      <c r="A756" s="52"/>
      <c r="B756" s="5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101"/>
      <c r="AI756" s="101"/>
      <c r="AJ756" s="112"/>
      <c r="AK756" s="3"/>
      <c r="AL756" s="1"/>
      <c r="AM756" s="2"/>
      <c r="AN756" s="3"/>
      <c r="AO756" s="3"/>
      <c r="AP756" s="3"/>
      <c r="AQ756" s="3"/>
    </row>
    <row r="757" spans="1:43" ht="15.75" customHeight="1">
      <c r="A757" s="52"/>
      <c r="B757" s="5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101"/>
      <c r="AI757" s="101"/>
      <c r="AJ757" s="112"/>
      <c r="AK757" s="3"/>
      <c r="AL757" s="1"/>
      <c r="AM757" s="2"/>
      <c r="AN757" s="3"/>
      <c r="AO757" s="3"/>
      <c r="AP757" s="3"/>
      <c r="AQ757" s="3"/>
    </row>
    <row r="758" spans="1:43" ht="15.75" customHeight="1">
      <c r="A758" s="52"/>
      <c r="B758" s="5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101"/>
      <c r="AI758" s="101"/>
      <c r="AJ758" s="112"/>
      <c r="AK758" s="3"/>
      <c r="AL758" s="1"/>
      <c r="AM758" s="2"/>
      <c r="AN758" s="3"/>
      <c r="AO758" s="3"/>
      <c r="AP758" s="3"/>
      <c r="AQ758" s="3"/>
    </row>
    <row r="759" spans="1:43" ht="15.75" customHeight="1">
      <c r="A759" s="52"/>
      <c r="B759" s="5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101"/>
      <c r="AI759" s="101"/>
      <c r="AJ759" s="112"/>
      <c r="AK759" s="3"/>
      <c r="AL759" s="1"/>
      <c r="AM759" s="2"/>
      <c r="AN759" s="3"/>
      <c r="AO759" s="3"/>
      <c r="AP759" s="3"/>
      <c r="AQ759" s="3"/>
    </row>
    <row r="760" spans="1:43" ht="15.75" customHeight="1">
      <c r="A760" s="52"/>
      <c r="B760" s="5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101"/>
      <c r="AI760" s="101"/>
      <c r="AJ760" s="112"/>
      <c r="AK760" s="3"/>
      <c r="AL760" s="1"/>
      <c r="AM760" s="2"/>
      <c r="AN760" s="3"/>
      <c r="AO760" s="3"/>
      <c r="AP760" s="3"/>
      <c r="AQ760" s="3"/>
    </row>
    <row r="761" spans="1:43" ht="15.75" customHeight="1">
      <c r="A761" s="52"/>
      <c r="B761" s="5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101"/>
      <c r="AI761" s="101"/>
      <c r="AJ761" s="112"/>
      <c r="AK761" s="3"/>
      <c r="AL761" s="1"/>
      <c r="AM761" s="2"/>
      <c r="AN761" s="3"/>
      <c r="AO761" s="3"/>
      <c r="AP761" s="3"/>
      <c r="AQ761" s="3"/>
    </row>
    <row r="762" spans="1:43" ht="15.75" customHeight="1">
      <c r="A762" s="52"/>
      <c r="B762" s="5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101"/>
      <c r="AI762" s="101"/>
      <c r="AJ762" s="112"/>
      <c r="AK762" s="3"/>
      <c r="AL762" s="1"/>
      <c r="AM762" s="2"/>
      <c r="AN762" s="3"/>
      <c r="AO762" s="3"/>
      <c r="AP762" s="3"/>
      <c r="AQ762" s="3"/>
    </row>
    <row r="763" spans="1:43" ht="15.75" customHeight="1">
      <c r="A763" s="52"/>
      <c r="B763" s="5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101"/>
      <c r="AI763" s="101"/>
      <c r="AJ763" s="112"/>
      <c r="AK763" s="3"/>
      <c r="AL763" s="1"/>
      <c r="AM763" s="2"/>
      <c r="AN763" s="3"/>
      <c r="AO763" s="3"/>
      <c r="AP763" s="3"/>
      <c r="AQ763" s="3"/>
    </row>
    <row r="764" spans="1:43" ht="15.75" customHeight="1">
      <c r="A764" s="52"/>
      <c r="B764" s="5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101"/>
      <c r="AI764" s="101"/>
      <c r="AJ764" s="112"/>
      <c r="AK764" s="3"/>
      <c r="AL764" s="1"/>
      <c r="AM764" s="2"/>
      <c r="AN764" s="3"/>
      <c r="AO764" s="3"/>
      <c r="AP764" s="3"/>
      <c r="AQ764" s="3"/>
    </row>
    <row r="765" spans="1:43" ht="15.75" customHeight="1">
      <c r="A765" s="52"/>
      <c r="B765" s="5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101"/>
      <c r="AI765" s="101"/>
      <c r="AJ765" s="112"/>
      <c r="AK765" s="3"/>
      <c r="AL765" s="1"/>
      <c r="AM765" s="2"/>
      <c r="AN765" s="3"/>
      <c r="AO765" s="3"/>
      <c r="AP765" s="3"/>
      <c r="AQ765" s="3"/>
    </row>
    <row r="766" spans="1:43" ht="15.75" customHeight="1">
      <c r="A766" s="52"/>
      <c r="B766" s="5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101"/>
      <c r="AI766" s="101"/>
      <c r="AJ766" s="112"/>
      <c r="AK766" s="3"/>
      <c r="AL766" s="1"/>
      <c r="AM766" s="2"/>
      <c r="AN766" s="3"/>
      <c r="AO766" s="3"/>
      <c r="AP766" s="3"/>
      <c r="AQ766" s="3"/>
    </row>
    <row r="767" spans="1:43" ht="15.75" customHeight="1">
      <c r="A767" s="52"/>
      <c r="B767" s="5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101"/>
      <c r="AI767" s="101"/>
      <c r="AJ767" s="112"/>
      <c r="AK767" s="3"/>
      <c r="AL767" s="1"/>
      <c r="AM767" s="2"/>
      <c r="AN767" s="3"/>
      <c r="AO767" s="3"/>
      <c r="AP767" s="3"/>
      <c r="AQ767" s="3"/>
    </row>
    <row r="768" spans="1:43" ht="15.75" customHeight="1">
      <c r="A768" s="52"/>
      <c r="B768" s="5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101"/>
      <c r="AI768" s="101"/>
      <c r="AJ768" s="112"/>
      <c r="AK768" s="3"/>
      <c r="AL768" s="1"/>
      <c r="AM768" s="2"/>
      <c r="AN768" s="3"/>
      <c r="AO768" s="3"/>
      <c r="AP768" s="3"/>
      <c r="AQ768" s="3"/>
    </row>
    <row r="769" spans="1:43" ht="15.75" customHeight="1">
      <c r="A769" s="52"/>
      <c r="B769" s="5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101"/>
      <c r="AI769" s="101"/>
      <c r="AJ769" s="112"/>
      <c r="AK769" s="3"/>
      <c r="AL769" s="1"/>
      <c r="AM769" s="2"/>
      <c r="AN769" s="3"/>
      <c r="AO769" s="3"/>
      <c r="AP769" s="3"/>
      <c r="AQ769" s="3"/>
    </row>
    <row r="770" spans="1:43" ht="15.75" customHeight="1">
      <c r="A770" s="52"/>
      <c r="B770" s="5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101"/>
      <c r="AI770" s="101"/>
      <c r="AJ770" s="112"/>
      <c r="AK770" s="3"/>
      <c r="AL770" s="1"/>
      <c r="AM770" s="2"/>
      <c r="AN770" s="3"/>
      <c r="AO770" s="3"/>
      <c r="AP770" s="3"/>
      <c r="AQ770" s="3"/>
    </row>
    <row r="771" spans="1:43" ht="15.75" customHeight="1">
      <c r="A771" s="52"/>
      <c r="B771" s="5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101"/>
      <c r="AI771" s="101"/>
      <c r="AJ771" s="112"/>
      <c r="AK771" s="3"/>
      <c r="AL771" s="1"/>
      <c r="AM771" s="2"/>
      <c r="AN771" s="3"/>
      <c r="AO771" s="3"/>
      <c r="AP771" s="3"/>
      <c r="AQ771" s="3"/>
    </row>
    <row r="772" spans="1:43" ht="15.75" customHeight="1">
      <c r="A772" s="52"/>
      <c r="B772" s="5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101"/>
      <c r="AI772" s="101"/>
      <c r="AJ772" s="112"/>
      <c r="AK772" s="3"/>
      <c r="AL772" s="1"/>
      <c r="AM772" s="2"/>
      <c r="AN772" s="3"/>
      <c r="AO772" s="3"/>
      <c r="AP772" s="3"/>
      <c r="AQ772" s="3"/>
    </row>
    <row r="773" spans="1:43" ht="15.75" customHeight="1">
      <c r="A773" s="52"/>
      <c r="B773" s="5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101"/>
      <c r="AI773" s="101"/>
      <c r="AJ773" s="112"/>
      <c r="AK773" s="3"/>
      <c r="AL773" s="1"/>
      <c r="AM773" s="2"/>
      <c r="AN773" s="3"/>
      <c r="AO773" s="3"/>
      <c r="AP773" s="3"/>
      <c r="AQ773" s="3"/>
    </row>
    <row r="774" spans="1:43" ht="15.75" customHeight="1">
      <c r="A774" s="52"/>
      <c r="B774" s="5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101"/>
      <c r="AI774" s="101"/>
      <c r="AJ774" s="112"/>
      <c r="AK774" s="3"/>
      <c r="AL774" s="1"/>
      <c r="AM774" s="2"/>
      <c r="AN774" s="3"/>
      <c r="AO774" s="3"/>
      <c r="AP774" s="3"/>
      <c r="AQ774" s="3"/>
    </row>
    <row r="775" spans="1:43" ht="15.75" customHeight="1">
      <c r="A775" s="52"/>
      <c r="B775" s="5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101"/>
      <c r="AI775" s="101"/>
      <c r="AJ775" s="112"/>
      <c r="AK775" s="3"/>
      <c r="AL775" s="1"/>
      <c r="AM775" s="2"/>
      <c r="AN775" s="3"/>
      <c r="AO775" s="3"/>
      <c r="AP775" s="3"/>
      <c r="AQ775" s="3"/>
    </row>
    <row r="776" spans="1:43" ht="15.75" customHeight="1">
      <c r="A776" s="52"/>
      <c r="B776" s="5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101"/>
      <c r="AI776" s="101"/>
      <c r="AJ776" s="112"/>
      <c r="AK776" s="3"/>
      <c r="AL776" s="1"/>
      <c r="AM776" s="2"/>
      <c r="AN776" s="3"/>
      <c r="AO776" s="3"/>
      <c r="AP776" s="3"/>
      <c r="AQ776" s="3"/>
    </row>
    <row r="777" spans="1:43" ht="15.75" customHeight="1">
      <c r="A777" s="52"/>
      <c r="B777" s="5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101"/>
      <c r="AI777" s="101"/>
      <c r="AJ777" s="112"/>
      <c r="AK777" s="3"/>
      <c r="AL777" s="1"/>
      <c r="AM777" s="2"/>
      <c r="AN777" s="3"/>
      <c r="AO777" s="3"/>
      <c r="AP777" s="3"/>
      <c r="AQ777" s="3"/>
    </row>
    <row r="778" spans="1:43" ht="15.75" customHeight="1">
      <c r="A778" s="52"/>
      <c r="B778" s="5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101"/>
      <c r="AI778" s="101"/>
      <c r="AJ778" s="112"/>
      <c r="AK778" s="3"/>
      <c r="AL778" s="1"/>
      <c r="AM778" s="2"/>
      <c r="AN778" s="3"/>
      <c r="AO778" s="3"/>
      <c r="AP778" s="3"/>
      <c r="AQ778" s="3"/>
    </row>
    <row r="779" spans="1:43" ht="15.75" customHeight="1">
      <c r="A779" s="52"/>
      <c r="B779" s="5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101"/>
      <c r="AI779" s="101"/>
      <c r="AJ779" s="112"/>
      <c r="AK779" s="3"/>
      <c r="AL779" s="1"/>
      <c r="AM779" s="2"/>
      <c r="AN779" s="3"/>
      <c r="AO779" s="3"/>
      <c r="AP779" s="3"/>
      <c r="AQ779" s="3"/>
    </row>
    <row r="780" spans="1:43" ht="15.75" customHeight="1">
      <c r="A780" s="52"/>
      <c r="B780" s="5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101"/>
      <c r="AI780" s="101"/>
      <c r="AJ780" s="112"/>
      <c r="AK780" s="3"/>
      <c r="AL780" s="1"/>
      <c r="AM780" s="2"/>
      <c r="AN780" s="3"/>
      <c r="AO780" s="3"/>
      <c r="AP780" s="3"/>
      <c r="AQ780" s="3"/>
    </row>
    <row r="781" spans="1:43" ht="15.75" customHeight="1">
      <c r="A781" s="52"/>
      <c r="B781" s="5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101"/>
      <c r="AI781" s="101"/>
      <c r="AJ781" s="112"/>
      <c r="AK781" s="3"/>
      <c r="AL781" s="1"/>
      <c r="AM781" s="2"/>
      <c r="AN781" s="3"/>
      <c r="AO781" s="3"/>
      <c r="AP781" s="3"/>
      <c r="AQ781" s="3"/>
    </row>
    <row r="782" spans="1:43" ht="15.75" customHeight="1">
      <c r="A782" s="52"/>
      <c r="B782" s="5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101"/>
      <c r="AI782" s="101"/>
      <c r="AJ782" s="112"/>
      <c r="AK782" s="3"/>
      <c r="AL782" s="1"/>
      <c r="AM782" s="2"/>
      <c r="AN782" s="3"/>
      <c r="AO782" s="3"/>
      <c r="AP782" s="3"/>
      <c r="AQ782" s="3"/>
    </row>
    <row r="783" spans="1:43" ht="15.75" customHeight="1">
      <c r="A783" s="52"/>
      <c r="B783" s="5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101"/>
      <c r="AI783" s="101"/>
      <c r="AJ783" s="112"/>
      <c r="AK783" s="3"/>
      <c r="AL783" s="1"/>
      <c r="AM783" s="2"/>
      <c r="AN783" s="3"/>
      <c r="AO783" s="3"/>
      <c r="AP783" s="3"/>
      <c r="AQ783" s="3"/>
    </row>
    <row r="784" spans="1:43" ht="15.75" customHeight="1">
      <c r="A784" s="52"/>
      <c r="B784" s="5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101"/>
      <c r="AI784" s="101"/>
      <c r="AJ784" s="112"/>
      <c r="AK784" s="3"/>
      <c r="AL784" s="1"/>
      <c r="AM784" s="2"/>
      <c r="AN784" s="3"/>
      <c r="AO784" s="3"/>
      <c r="AP784" s="3"/>
      <c r="AQ784" s="3"/>
    </row>
    <row r="785" spans="1:43" ht="15.75" customHeight="1">
      <c r="A785" s="52"/>
      <c r="B785" s="5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101"/>
      <c r="AI785" s="101"/>
      <c r="AJ785" s="112"/>
      <c r="AK785" s="3"/>
      <c r="AL785" s="1"/>
      <c r="AM785" s="2"/>
      <c r="AN785" s="3"/>
      <c r="AO785" s="3"/>
      <c r="AP785" s="3"/>
      <c r="AQ785" s="3"/>
    </row>
    <row r="786" spans="1:43" ht="15.75" customHeight="1">
      <c r="A786" s="52"/>
      <c r="B786" s="5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101"/>
      <c r="AI786" s="101"/>
      <c r="AJ786" s="112"/>
      <c r="AK786" s="3"/>
      <c r="AL786" s="1"/>
      <c r="AM786" s="2"/>
      <c r="AN786" s="3"/>
      <c r="AO786" s="3"/>
      <c r="AP786" s="3"/>
      <c r="AQ786" s="3"/>
    </row>
    <row r="787" spans="1:43" ht="15.75" customHeight="1">
      <c r="A787" s="52"/>
      <c r="B787" s="5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101"/>
      <c r="AI787" s="101"/>
      <c r="AJ787" s="112"/>
      <c r="AK787" s="3"/>
      <c r="AL787" s="1"/>
      <c r="AM787" s="2"/>
      <c r="AN787" s="3"/>
      <c r="AO787" s="3"/>
      <c r="AP787" s="3"/>
      <c r="AQ787" s="3"/>
    </row>
    <row r="788" spans="1:43" ht="15.75" customHeight="1">
      <c r="A788" s="52"/>
      <c r="B788" s="5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101"/>
      <c r="AI788" s="101"/>
      <c r="AJ788" s="112"/>
      <c r="AK788" s="3"/>
      <c r="AL788" s="1"/>
      <c r="AM788" s="2"/>
      <c r="AN788" s="3"/>
      <c r="AO788" s="3"/>
      <c r="AP788" s="3"/>
      <c r="AQ788" s="3"/>
    </row>
    <row r="789" spans="1:43" ht="15.75" customHeight="1">
      <c r="A789" s="52"/>
      <c r="B789" s="5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101"/>
      <c r="AI789" s="101"/>
      <c r="AJ789" s="112"/>
      <c r="AK789" s="3"/>
      <c r="AL789" s="1"/>
      <c r="AM789" s="2"/>
      <c r="AN789" s="3"/>
      <c r="AO789" s="3"/>
      <c r="AP789" s="3"/>
      <c r="AQ789" s="3"/>
    </row>
    <row r="790" spans="1:43" ht="15.75" customHeight="1">
      <c r="A790" s="52"/>
      <c r="B790" s="5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101"/>
      <c r="AI790" s="101"/>
      <c r="AJ790" s="112"/>
      <c r="AK790" s="3"/>
      <c r="AL790" s="1"/>
      <c r="AM790" s="2"/>
      <c r="AN790" s="3"/>
      <c r="AO790" s="3"/>
      <c r="AP790" s="3"/>
      <c r="AQ790" s="3"/>
    </row>
    <row r="791" spans="1:43" ht="15.75" customHeight="1">
      <c r="A791" s="52"/>
      <c r="B791" s="5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101"/>
      <c r="AI791" s="101"/>
      <c r="AJ791" s="112"/>
      <c r="AK791" s="3"/>
      <c r="AL791" s="1"/>
      <c r="AM791" s="2"/>
      <c r="AN791" s="3"/>
      <c r="AO791" s="3"/>
      <c r="AP791" s="3"/>
      <c r="AQ791" s="3"/>
    </row>
    <row r="792" spans="1:43" ht="15.75" customHeight="1">
      <c r="A792" s="52"/>
      <c r="B792" s="5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101"/>
      <c r="AI792" s="101"/>
      <c r="AJ792" s="112"/>
      <c r="AK792" s="3"/>
      <c r="AL792" s="1"/>
      <c r="AM792" s="2"/>
      <c r="AN792" s="3"/>
      <c r="AO792" s="3"/>
      <c r="AP792" s="3"/>
      <c r="AQ792" s="3"/>
    </row>
    <row r="793" spans="1:43" ht="15.75" customHeight="1">
      <c r="A793" s="52"/>
      <c r="B793" s="5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101"/>
      <c r="AI793" s="101"/>
      <c r="AJ793" s="112"/>
      <c r="AK793" s="3"/>
      <c r="AL793" s="1"/>
      <c r="AM793" s="2"/>
      <c r="AN793" s="3"/>
      <c r="AO793" s="3"/>
      <c r="AP793" s="3"/>
      <c r="AQ793" s="3"/>
    </row>
    <row r="794" spans="1:43" ht="15.75" customHeight="1">
      <c r="A794" s="52"/>
      <c r="B794" s="5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101"/>
      <c r="AI794" s="101"/>
      <c r="AJ794" s="112"/>
      <c r="AK794" s="3"/>
      <c r="AL794" s="1"/>
      <c r="AM794" s="2"/>
      <c r="AN794" s="3"/>
      <c r="AO794" s="3"/>
      <c r="AP794" s="3"/>
      <c r="AQ794" s="3"/>
    </row>
    <row r="795" spans="1:43" ht="15.75" customHeight="1">
      <c r="A795" s="52"/>
      <c r="B795" s="5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101"/>
      <c r="AI795" s="101"/>
      <c r="AJ795" s="112"/>
      <c r="AK795" s="3"/>
      <c r="AL795" s="1"/>
      <c r="AM795" s="2"/>
      <c r="AN795" s="3"/>
      <c r="AO795" s="3"/>
      <c r="AP795" s="3"/>
      <c r="AQ795" s="3"/>
    </row>
    <row r="796" spans="1:43" ht="15.75" customHeight="1">
      <c r="A796" s="52"/>
      <c r="B796" s="5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101"/>
      <c r="AI796" s="101"/>
      <c r="AJ796" s="112"/>
      <c r="AK796" s="3"/>
      <c r="AL796" s="1"/>
      <c r="AM796" s="2"/>
      <c r="AN796" s="3"/>
      <c r="AO796" s="3"/>
      <c r="AP796" s="3"/>
      <c r="AQ796" s="3"/>
    </row>
    <row r="797" spans="1:43" ht="15.75" customHeight="1">
      <c r="A797" s="52"/>
      <c r="B797" s="5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101"/>
      <c r="AI797" s="101"/>
      <c r="AJ797" s="112"/>
      <c r="AK797" s="3"/>
      <c r="AL797" s="1"/>
      <c r="AM797" s="2"/>
      <c r="AN797" s="3"/>
      <c r="AO797" s="3"/>
      <c r="AP797" s="3"/>
      <c r="AQ797" s="3"/>
    </row>
    <row r="798" spans="1:43" ht="15.75" customHeight="1">
      <c r="A798" s="52"/>
      <c r="B798" s="5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101"/>
      <c r="AI798" s="101"/>
      <c r="AJ798" s="112"/>
      <c r="AK798" s="3"/>
      <c r="AL798" s="1"/>
      <c r="AM798" s="2"/>
      <c r="AN798" s="3"/>
      <c r="AO798" s="3"/>
      <c r="AP798" s="3"/>
      <c r="AQ798" s="3"/>
    </row>
    <row r="799" spans="1:43" ht="15.75" customHeight="1">
      <c r="A799" s="52"/>
      <c r="B799" s="5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101"/>
      <c r="AI799" s="101"/>
      <c r="AJ799" s="112"/>
      <c r="AK799" s="3"/>
      <c r="AL799" s="1"/>
      <c r="AM799" s="2"/>
      <c r="AN799" s="3"/>
      <c r="AO799" s="3"/>
      <c r="AP799" s="3"/>
      <c r="AQ799" s="3"/>
    </row>
    <row r="800" spans="1:43" ht="15.75" customHeight="1">
      <c r="A800" s="52"/>
      <c r="B800" s="5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101"/>
      <c r="AI800" s="101"/>
      <c r="AJ800" s="112"/>
      <c r="AK800" s="3"/>
      <c r="AL800" s="1"/>
      <c r="AM800" s="2"/>
      <c r="AN800" s="3"/>
      <c r="AO800" s="3"/>
      <c r="AP800" s="3"/>
      <c r="AQ800" s="3"/>
    </row>
    <row r="801" spans="1:43" ht="15.75" customHeight="1">
      <c r="A801" s="52"/>
      <c r="B801" s="5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101"/>
      <c r="AI801" s="101"/>
      <c r="AJ801" s="112"/>
      <c r="AK801" s="3"/>
      <c r="AL801" s="1"/>
      <c r="AM801" s="2"/>
      <c r="AN801" s="3"/>
      <c r="AO801" s="3"/>
      <c r="AP801" s="3"/>
      <c r="AQ801" s="3"/>
    </row>
    <row r="802" spans="1:43" ht="15.75" customHeight="1">
      <c r="A802" s="52"/>
      <c r="B802" s="5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101"/>
      <c r="AI802" s="101"/>
      <c r="AJ802" s="112"/>
      <c r="AK802" s="3"/>
      <c r="AL802" s="1"/>
      <c r="AM802" s="2"/>
      <c r="AN802" s="3"/>
      <c r="AO802" s="3"/>
      <c r="AP802" s="3"/>
      <c r="AQ802" s="3"/>
    </row>
    <row r="803" spans="1:43" ht="15.75" customHeight="1">
      <c r="A803" s="52"/>
      <c r="B803" s="5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101"/>
      <c r="AI803" s="101"/>
      <c r="AJ803" s="112"/>
      <c r="AK803" s="3"/>
      <c r="AL803" s="1"/>
      <c r="AM803" s="2"/>
      <c r="AN803" s="3"/>
      <c r="AO803" s="3"/>
      <c r="AP803" s="3"/>
      <c r="AQ803" s="3"/>
    </row>
    <row r="804" spans="1:43" ht="15.75" customHeight="1">
      <c r="A804" s="52"/>
      <c r="B804" s="5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101"/>
      <c r="AI804" s="101"/>
      <c r="AJ804" s="112"/>
      <c r="AK804" s="3"/>
      <c r="AL804" s="1"/>
      <c r="AM804" s="2"/>
      <c r="AN804" s="3"/>
      <c r="AO804" s="3"/>
      <c r="AP804" s="3"/>
      <c r="AQ804" s="3"/>
    </row>
    <row r="805" spans="1:43" ht="15.75" customHeight="1">
      <c r="A805" s="52"/>
      <c r="B805" s="5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101"/>
      <c r="AI805" s="101"/>
      <c r="AJ805" s="112"/>
      <c r="AK805" s="3"/>
      <c r="AL805" s="1"/>
      <c r="AM805" s="2"/>
      <c r="AN805" s="3"/>
      <c r="AO805" s="3"/>
      <c r="AP805" s="3"/>
      <c r="AQ805" s="3"/>
    </row>
    <row r="806" spans="1:43" ht="15.75" customHeight="1">
      <c r="A806" s="52"/>
      <c r="B806" s="5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101"/>
      <c r="AI806" s="101"/>
      <c r="AJ806" s="112"/>
      <c r="AK806" s="3"/>
      <c r="AL806" s="1"/>
      <c r="AM806" s="2"/>
      <c r="AN806" s="3"/>
      <c r="AO806" s="3"/>
      <c r="AP806" s="3"/>
      <c r="AQ806" s="3"/>
    </row>
    <row r="807" spans="1:43" ht="15.75" customHeight="1">
      <c r="A807" s="52"/>
      <c r="B807" s="5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101"/>
      <c r="AI807" s="101"/>
      <c r="AJ807" s="112"/>
      <c r="AK807" s="3"/>
      <c r="AL807" s="1"/>
      <c r="AM807" s="2"/>
      <c r="AN807" s="3"/>
      <c r="AO807" s="3"/>
      <c r="AP807" s="3"/>
      <c r="AQ807" s="3"/>
    </row>
    <row r="808" spans="1:43" ht="15.75" customHeight="1">
      <c r="A808" s="52"/>
      <c r="B808" s="5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101"/>
      <c r="AI808" s="101"/>
      <c r="AJ808" s="112"/>
      <c r="AK808" s="3"/>
      <c r="AL808" s="1"/>
      <c r="AM808" s="2"/>
      <c r="AN808" s="3"/>
      <c r="AO808" s="3"/>
      <c r="AP808" s="3"/>
      <c r="AQ808" s="3"/>
    </row>
    <row r="809" spans="1:43" ht="15.75" customHeight="1">
      <c r="A809" s="52"/>
      <c r="B809" s="5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101"/>
      <c r="AI809" s="101"/>
      <c r="AJ809" s="112"/>
      <c r="AK809" s="3"/>
      <c r="AL809" s="1"/>
      <c r="AM809" s="2"/>
      <c r="AN809" s="3"/>
      <c r="AO809" s="3"/>
      <c r="AP809" s="3"/>
      <c r="AQ809" s="3"/>
    </row>
    <row r="810" spans="1:43" ht="15.75" customHeight="1">
      <c r="A810" s="52"/>
      <c r="B810" s="5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101"/>
      <c r="AI810" s="101"/>
      <c r="AJ810" s="112"/>
      <c r="AK810" s="3"/>
      <c r="AL810" s="1"/>
      <c r="AM810" s="2"/>
      <c r="AN810" s="3"/>
      <c r="AO810" s="3"/>
      <c r="AP810" s="3"/>
      <c r="AQ810" s="3"/>
    </row>
    <row r="811" spans="1:43" ht="15.75" customHeight="1">
      <c r="A811" s="52"/>
      <c r="B811" s="5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101"/>
      <c r="AI811" s="101"/>
      <c r="AJ811" s="112"/>
      <c r="AK811" s="3"/>
      <c r="AL811" s="1"/>
      <c r="AM811" s="2"/>
      <c r="AN811" s="3"/>
      <c r="AO811" s="3"/>
      <c r="AP811" s="3"/>
      <c r="AQ811" s="3"/>
    </row>
    <row r="812" spans="1:43" ht="15.75" customHeight="1">
      <c r="A812" s="52"/>
      <c r="B812" s="5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101"/>
      <c r="AI812" s="101"/>
      <c r="AJ812" s="112"/>
      <c r="AK812" s="3"/>
      <c r="AL812" s="1"/>
      <c r="AM812" s="2"/>
      <c r="AN812" s="3"/>
      <c r="AO812" s="3"/>
      <c r="AP812" s="3"/>
      <c r="AQ812" s="3"/>
    </row>
    <row r="813" spans="1:43" ht="15.75" customHeight="1">
      <c r="A813" s="52"/>
      <c r="B813" s="5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101"/>
      <c r="AI813" s="101"/>
      <c r="AJ813" s="112"/>
      <c r="AK813" s="3"/>
      <c r="AL813" s="1"/>
      <c r="AM813" s="2"/>
      <c r="AN813" s="3"/>
      <c r="AO813" s="3"/>
      <c r="AP813" s="3"/>
      <c r="AQ813" s="3"/>
    </row>
    <row r="814" spans="1:43" ht="15.75" customHeight="1">
      <c r="A814" s="52"/>
      <c r="B814" s="5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101"/>
      <c r="AI814" s="101"/>
      <c r="AJ814" s="112"/>
      <c r="AK814" s="3"/>
      <c r="AL814" s="1"/>
      <c r="AM814" s="2"/>
      <c r="AN814" s="3"/>
      <c r="AO814" s="3"/>
      <c r="AP814" s="3"/>
      <c r="AQ814" s="3"/>
    </row>
    <row r="815" spans="1:43" ht="15.75" customHeight="1">
      <c r="A815" s="52"/>
      <c r="B815" s="5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101"/>
      <c r="AI815" s="101"/>
      <c r="AJ815" s="112"/>
      <c r="AK815" s="3"/>
      <c r="AL815" s="1"/>
      <c r="AM815" s="2"/>
      <c r="AN815" s="3"/>
      <c r="AO815" s="3"/>
      <c r="AP815" s="3"/>
      <c r="AQ815" s="3"/>
    </row>
    <row r="816" spans="1:43" ht="15.75" customHeight="1">
      <c r="A816" s="52"/>
      <c r="B816" s="5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101"/>
      <c r="AI816" s="101"/>
      <c r="AJ816" s="112"/>
      <c r="AK816" s="3"/>
      <c r="AL816" s="1"/>
      <c r="AM816" s="2"/>
      <c r="AN816" s="3"/>
      <c r="AO816" s="3"/>
      <c r="AP816" s="3"/>
      <c r="AQ816" s="3"/>
    </row>
    <row r="817" spans="1:43" ht="15.75" customHeight="1">
      <c r="A817" s="52"/>
      <c r="B817" s="5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101"/>
      <c r="AI817" s="101"/>
      <c r="AJ817" s="112"/>
      <c r="AK817" s="3"/>
      <c r="AL817" s="1"/>
      <c r="AM817" s="2"/>
      <c r="AN817" s="3"/>
      <c r="AO817" s="3"/>
      <c r="AP817" s="3"/>
      <c r="AQ817" s="3"/>
    </row>
    <row r="818" spans="1:43" ht="15.75" customHeight="1">
      <c r="A818" s="52"/>
      <c r="B818" s="5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101"/>
      <c r="AI818" s="101"/>
      <c r="AJ818" s="112"/>
      <c r="AK818" s="3"/>
      <c r="AL818" s="1"/>
      <c r="AM818" s="2"/>
      <c r="AN818" s="3"/>
      <c r="AO818" s="3"/>
      <c r="AP818" s="3"/>
      <c r="AQ818" s="3"/>
    </row>
    <row r="819" spans="1:43" ht="15.75" customHeight="1">
      <c r="A819" s="52"/>
      <c r="B819" s="5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101"/>
      <c r="AI819" s="101"/>
      <c r="AJ819" s="112"/>
      <c r="AK819" s="3"/>
      <c r="AL819" s="1"/>
      <c r="AM819" s="2"/>
      <c r="AN819" s="3"/>
      <c r="AO819" s="3"/>
      <c r="AP819" s="3"/>
      <c r="AQ819" s="3"/>
    </row>
    <row r="820" spans="1:43" ht="15.75" customHeight="1">
      <c r="A820" s="52"/>
      <c r="B820" s="5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101"/>
      <c r="AI820" s="101"/>
      <c r="AJ820" s="112"/>
      <c r="AK820" s="3"/>
      <c r="AL820" s="1"/>
      <c r="AM820" s="2"/>
      <c r="AN820" s="3"/>
      <c r="AO820" s="3"/>
      <c r="AP820" s="3"/>
      <c r="AQ820" s="3"/>
    </row>
    <row r="821" spans="1:43" ht="15.75" customHeight="1">
      <c r="A821" s="52"/>
      <c r="B821" s="5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101"/>
      <c r="AI821" s="101"/>
      <c r="AJ821" s="112"/>
      <c r="AK821" s="3"/>
      <c r="AL821" s="1"/>
      <c r="AM821" s="2"/>
      <c r="AN821" s="3"/>
      <c r="AO821" s="3"/>
      <c r="AP821" s="3"/>
      <c r="AQ821" s="3"/>
    </row>
    <row r="822" spans="1:43" ht="15.75" customHeight="1">
      <c r="A822" s="52"/>
      <c r="B822" s="5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101"/>
      <c r="AI822" s="101"/>
      <c r="AJ822" s="112"/>
      <c r="AK822" s="3"/>
      <c r="AL822" s="1"/>
      <c r="AM822" s="2"/>
      <c r="AN822" s="3"/>
      <c r="AO822" s="3"/>
      <c r="AP822" s="3"/>
      <c r="AQ822" s="3"/>
    </row>
    <row r="823" spans="1:43" ht="15.75" customHeight="1">
      <c r="A823" s="52"/>
      <c r="B823" s="5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101"/>
      <c r="AI823" s="101"/>
      <c r="AJ823" s="112"/>
      <c r="AK823" s="3"/>
      <c r="AL823" s="1"/>
      <c r="AM823" s="2"/>
      <c r="AN823" s="3"/>
      <c r="AO823" s="3"/>
      <c r="AP823" s="3"/>
      <c r="AQ823" s="3"/>
    </row>
    <row r="824" spans="1:43" ht="15.75" customHeight="1">
      <c r="A824" s="52"/>
      <c r="B824" s="5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101"/>
      <c r="AI824" s="101"/>
      <c r="AJ824" s="112"/>
      <c r="AK824" s="3"/>
      <c r="AL824" s="1"/>
      <c r="AM824" s="2"/>
      <c r="AN824" s="3"/>
      <c r="AO824" s="3"/>
      <c r="AP824" s="3"/>
      <c r="AQ824" s="3"/>
    </row>
    <row r="825" spans="1:43" ht="15.75" customHeight="1">
      <c r="A825" s="52"/>
      <c r="B825" s="5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101"/>
      <c r="AI825" s="101"/>
      <c r="AJ825" s="112"/>
      <c r="AK825" s="3"/>
      <c r="AL825" s="1"/>
      <c r="AM825" s="2"/>
      <c r="AN825" s="3"/>
      <c r="AO825" s="3"/>
      <c r="AP825" s="3"/>
      <c r="AQ825" s="3"/>
    </row>
    <row r="826" spans="1:43" ht="15.75" customHeight="1">
      <c r="A826" s="52"/>
      <c r="B826" s="5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101"/>
      <c r="AI826" s="101"/>
      <c r="AJ826" s="112"/>
      <c r="AK826" s="3"/>
      <c r="AL826" s="1"/>
      <c r="AM826" s="2"/>
      <c r="AN826" s="3"/>
      <c r="AO826" s="3"/>
      <c r="AP826" s="3"/>
      <c r="AQ826" s="3"/>
    </row>
    <row r="827" spans="1:43" ht="15.75" customHeight="1">
      <c r="A827" s="52"/>
      <c r="B827" s="5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101"/>
      <c r="AI827" s="101"/>
      <c r="AJ827" s="112"/>
      <c r="AK827" s="3"/>
      <c r="AL827" s="1"/>
      <c r="AM827" s="2"/>
      <c r="AN827" s="3"/>
      <c r="AO827" s="3"/>
      <c r="AP827" s="3"/>
      <c r="AQ827" s="3"/>
    </row>
    <row r="828" spans="1:43" ht="15.75" customHeight="1">
      <c r="A828" s="52"/>
      <c r="B828" s="5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101"/>
      <c r="AI828" s="101"/>
      <c r="AJ828" s="112"/>
      <c r="AK828" s="3"/>
      <c r="AL828" s="1"/>
      <c r="AM828" s="2"/>
      <c r="AN828" s="3"/>
      <c r="AO828" s="3"/>
      <c r="AP828" s="3"/>
      <c r="AQ828" s="3"/>
    </row>
    <row r="829" spans="1:43" ht="15.75" customHeight="1">
      <c r="A829" s="52"/>
      <c r="B829" s="5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101"/>
      <c r="AI829" s="101"/>
      <c r="AJ829" s="112"/>
      <c r="AK829" s="3"/>
      <c r="AL829" s="1"/>
      <c r="AM829" s="2"/>
      <c r="AN829" s="3"/>
      <c r="AO829" s="3"/>
      <c r="AP829" s="3"/>
      <c r="AQ829" s="3"/>
    </row>
    <row r="830" spans="1:43" ht="15.75" customHeight="1">
      <c r="A830" s="52"/>
      <c r="B830" s="5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101"/>
      <c r="AI830" s="101"/>
      <c r="AJ830" s="112"/>
      <c r="AK830" s="3"/>
      <c r="AL830" s="1"/>
      <c r="AM830" s="2"/>
      <c r="AN830" s="3"/>
      <c r="AO830" s="3"/>
      <c r="AP830" s="3"/>
      <c r="AQ830" s="3"/>
    </row>
    <row r="831" spans="1:43" ht="15.75" customHeight="1">
      <c r="A831" s="52"/>
      <c r="B831" s="5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101"/>
      <c r="AI831" s="101"/>
      <c r="AJ831" s="112"/>
      <c r="AK831" s="3"/>
      <c r="AL831" s="1"/>
      <c r="AM831" s="2"/>
      <c r="AN831" s="3"/>
      <c r="AO831" s="3"/>
      <c r="AP831" s="3"/>
      <c r="AQ831" s="3"/>
    </row>
    <row r="832" spans="1:43" ht="15.75" customHeight="1">
      <c r="A832" s="52"/>
      <c r="B832" s="5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101"/>
      <c r="AI832" s="101"/>
      <c r="AJ832" s="112"/>
      <c r="AK832" s="3"/>
      <c r="AL832" s="1"/>
      <c r="AM832" s="2"/>
      <c r="AN832" s="3"/>
      <c r="AO832" s="3"/>
      <c r="AP832" s="3"/>
      <c r="AQ832" s="3"/>
    </row>
    <row r="833" spans="1:43" ht="15.75" customHeight="1">
      <c r="A833" s="52"/>
      <c r="B833" s="5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101"/>
      <c r="AI833" s="101"/>
      <c r="AJ833" s="112"/>
      <c r="AK833" s="3"/>
      <c r="AL833" s="1"/>
      <c r="AM833" s="2"/>
      <c r="AN833" s="3"/>
      <c r="AO833" s="3"/>
      <c r="AP833" s="3"/>
      <c r="AQ833" s="3"/>
    </row>
    <row r="834" spans="1:43" ht="15.75" customHeight="1">
      <c r="A834" s="52"/>
      <c r="B834" s="5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101"/>
      <c r="AI834" s="101"/>
      <c r="AJ834" s="112"/>
      <c r="AK834" s="3"/>
      <c r="AL834" s="1"/>
      <c r="AM834" s="2"/>
      <c r="AN834" s="3"/>
      <c r="AO834" s="3"/>
      <c r="AP834" s="3"/>
      <c r="AQ834" s="3"/>
    </row>
    <row r="835" spans="1:43" ht="15.75" customHeight="1">
      <c r="A835" s="52"/>
      <c r="B835" s="5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101"/>
      <c r="AI835" s="101"/>
      <c r="AJ835" s="112"/>
      <c r="AK835" s="3"/>
      <c r="AL835" s="1"/>
      <c r="AM835" s="2"/>
      <c r="AN835" s="3"/>
      <c r="AO835" s="3"/>
      <c r="AP835" s="3"/>
      <c r="AQ835" s="3"/>
    </row>
    <row r="836" spans="1:43" ht="15.75" customHeight="1">
      <c r="A836" s="52"/>
      <c r="B836" s="5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101"/>
      <c r="AI836" s="101"/>
      <c r="AJ836" s="112"/>
      <c r="AK836" s="3"/>
      <c r="AL836" s="1"/>
      <c r="AM836" s="2"/>
      <c r="AN836" s="3"/>
      <c r="AO836" s="3"/>
      <c r="AP836" s="3"/>
      <c r="AQ836" s="3"/>
    </row>
    <row r="837" spans="1:43" ht="15.75" customHeight="1">
      <c r="A837" s="52"/>
      <c r="B837" s="5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101"/>
      <c r="AI837" s="101"/>
      <c r="AJ837" s="112"/>
      <c r="AK837" s="3"/>
      <c r="AL837" s="1"/>
      <c r="AM837" s="2"/>
      <c r="AN837" s="3"/>
      <c r="AO837" s="3"/>
      <c r="AP837" s="3"/>
      <c r="AQ837" s="3"/>
    </row>
    <row r="838" spans="1:43" ht="15.75" customHeight="1">
      <c r="A838" s="52"/>
      <c r="B838" s="5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101"/>
      <c r="AI838" s="101"/>
      <c r="AJ838" s="112"/>
      <c r="AK838" s="3"/>
      <c r="AL838" s="1"/>
      <c r="AM838" s="2"/>
      <c r="AN838" s="3"/>
      <c r="AO838" s="3"/>
      <c r="AP838" s="3"/>
      <c r="AQ838" s="3"/>
    </row>
    <row r="839" spans="1:43" ht="15.75" customHeight="1">
      <c r="A839" s="52"/>
      <c r="B839" s="5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101"/>
      <c r="AI839" s="101"/>
      <c r="AJ839" s="112"/>
      <c r="AK839" s="3"/>
      <c r="AL839" s="1"/>
      <c r="AM839" s="2"/>
      <c r="AN839" s="3"/>
      <c r="AO839" s="3"/>
      <c r="AP839" s="3"/>
      <c r="AQ839" s="3"/>
    </row>
    <row r="840" spans="1:43" ht="15.75" customHeight="1">
      <c r="A840" s="52"/>
      <c r="B840" s="5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101"/>
      <c r="AI840" s="101"/>
      <c r="AJ840" s="112"/>
      <c r="AK840" s="3"/>
      <c r="AL840" s="1"/>
      <c r="AM840" s="2"/>
      <c r="AN840" s="3"/>
      <c r="AO840" s="3"/>
      <c r="AP840" s="3"/>
      <c r="AQ840" s="3"/>
    </row>
    <row r="841" spans="1:43" ht="15.75" customHeight="1">
      <c r="A841" s="52"/>
      <c r="B841" s="5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101"/>
      <c r="AI841" s="101"/>
      <c r="AJ841" s="112"/>
      <c r="AK841" s="3"/>
      <c r="AL841" s="1"/>
      <c r="AM841" s="2"/>
      <c r="AN841" s="3"/>
      <c r="AO841" s="3"/>
      <c r="AP841" s="3"/>
      <c r="AQ841" s="3"/>
    </row>
    <row r="842" spans="1:43" ht="15.75" customHeight="1">
      <c r="A842" s="52"/>
      <c r="B842" s="5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101"/>
      <c r="AI842" s="101"/>
      <c r="AJ842" s="112"/>
      <c r="AK842" s="3"/>
      <c r="AL842" s="1"/>
      <c r="AM842" s="2"/>
      <c r="AN842" s="3"/>
      <c r="AO842" s="3"/>
      <c r="AP842" s="3"/>
      <c r="AQ842" s="3"/>
    </row>
    <row r="843" spans="1:43" ht="15.75" customHeight="1">
      <c r="A843" s="52"/>
      <c r="B843" s="5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101"/>
      <c r="AI843" s="101"/>
      <c r="AJ843" s="112"/>
      <c r="AK843" s="3"/>
      <c r="AL843" s="1"/>
      <c r="AM843" s="2"/>
      <c r="AN843" s="3"/>
      <c r="AO843" s="3"/>
      <c r="AP843" s="3"/>
      <c r="AQ843" s="3"/>
    </row>
    <row r="844" spans="1:43" ht="15.75" customHeight="1">
      <c r="A844" s="52"/>
      <c r="B844" s="5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101"/>
      <c r="AI844" s="101"/>
      <c r="AJ844" s="112"/>
      <c r="AK844" s="3"/>
      <c r="AL844" s="1"/>
      <c r="AM844" s="2"/>
      <c r="AN844" s="3"/>
      <c r="AO844" s="3"/>
      <c r="AP844" s="3"/>
      <c r="AQ844" s="3"/>
    </row>
    <row r="845" spans="1:43" ht="15.75" customHeight="1">
      <c r="A845" s="52"/>
      <c r="B845" s="5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101"/>
      <c r="AI845" s="101"/>
      <c r="AJ845" s="112"/>
      <c r="AK845" s="3"/>
      <c r="AL845" s="1"/>
      <c r="AM845" s="2"/>
      <c r="AN845" s="3"/>
      <c r="AO845" s="3"/>
      <c r="AP845" s="3"/>
      <c r="AQ845" s="3"/>
    </row>
    <row r="846" spans="1:43" ht="15.75" customHeight="1">
      <c r="A846" s="52"/>
      <c r="B846" s="5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101"/>
      <c r="AI846" s="101"/>
      <c r="AJ846" s="112"/>
      <c r="AK846" s="3"/>
      <c r="AL846" s="1"/>
      <c r="AM846" s="2"/>
      <c r="AN846" s="3"/>
      <c r="AO846" s="3"/>
      <c r="AP846" s="3"/>
      <c r="AQ846" s="3"/>
    </row>
    <row r="847" spans="1:43" ht="15.75" customHeight="1">
      <c r="A847" s="52"/>
      <c r="B847" s="5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101"/>
      <c r="AI847" s="101"/>
      <c r="AJ847" s="112"/>
      <c r="AK847" s="3"/>
      <c r="AL847" s="1"/>
      <c r="AM847" s="2"/>
      <c r="AN847" s="3"/>
      <c r="AO847" s="3"/>
      <c r="AP847" s="3"/>
      <c r="AQ847" s="3"/>
    </row>
    <row r="848" spans="1:43" ht="15.75" customHeight="1">
      <c r="A848" s="52"/>
      <c r="B848" s="5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101"/>
      <c r="AI848" s="101"/>
      <c r="AJ848" s="112"/>
      <c r="AK848" s="3"/>
      <c r="AL848" s="1"/>
      <c r="AM848" s="2"/>
      <c r="AN848" s="3"/>
      <c r="AO848" s="3"/>
      <c r="AP848" s="3"/>
      <c r="AQ848" s="3"/>
    </row>
    <row r="849" spans="1:43" ht="15.75" customHeight="1">
      <c r="A849" s="52"/>
      <c r="B849" s="5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101"/>
      <c r="AI849" s="101"/>
      <c r="AJ849" s="112"/>
      <c r="AK849" s="3"/>
      <c r="AL849" s="1"/>
      <c r="AM849" s="2"/>
      <c r="AN849" s="3"/>
      <c r="AO849" s="3"/>
      <c r="AP849" s="3"/>
      <c r="AQ849" s="3"/>
    </row>
    <row r="850" spans="1:43" ht="15.75" customHeight="1">
      <c r="A850" s="52"/>
      <c r="B850" s="5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101"/>
      <c r="AI850" s="101"/>
      <c r="AJ850" s="112"/>
      <c r="AK850" s="3"/>
      <c r="AL850" s="1"/>
      <c r="AM850" s="2"/>
      <c r="AN850" s="3"/>
      <c r="AO850" s="3"/>
      <c r="AP850" s="3"/>
      <c r="AQ850" s="3"/>
    </row>
    <row r="851" spans="1:43" ht="15.75" customHeight="1">
      <c r="A851" s="52"/>
      <c r="B851" s="5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101"/>
      <c r="AI851" s="101"/>
      <c r="AJ851" s="112"/>
      <c r="AK851" s="3"/>
      <c r="AL851" s="1"/>
      <c r="AM851" s="2"/>
      <c r="AN851" s="3"/>
      <c r="AO851" s="3"/>
      <c r="AP851" s="3"/>
      <c r="AQ851" s="3"/>
    </row>
    <row r="852" spans="1:43" ht="15.75" customHeight="1">
      <c r="A852" s="52"/>
      <c r="B852" s="5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101"/>
      <c r="AI852" s="101"/>
      <c r="AJ852" s="112"/>
      <c r="AK852" s="3"/>
      <c r="AL852" s="1"/>
      <c r="AM852" s="2"/>
      <c r="AN852" s="3"/>
      <c r="AO852" s="3"/>
      <c r="AP852" s="3"/>
      <c r="AQ852" s="3"/>
    </row>
    <row r="853" spans="1:43" ht="15.75" customHeight="1">
      <c r="A853" s="52"/>
      <c r="B853" s="5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101"/>
      <c r="AI853" s="101"/>
      <c r="AJ853" s="112"/>
      <c r="AK853" s="3"/>
      <c r="AL853" s="1"/>
      <c r="AM853" s="2"/>
      <c r="AN853" s="3"/>
      <c r="AO853" s="3"/>
      <c r="AP853" s="3"/>
      <c r="AQ853" s="3"/>
    </row>
    <row r="854" spans="1:43" ht="15.75" customHeight="1">
      <c r="A854" s="52"/>
      <c r="B854" s="5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101"/>
      <c r="AI854" s="101"/>
      <c r="AJ854" s="112"/>
      <c r="AK854" s="3"/>
      <c r="AL854" s="1"/>
      <c r="AM854" s="2"/>
      <c r="AN854" s="3"/>
      <c r="AO854" s="3"/>
      <c r="AP854" s="3"/>
      <c r="AQ854" s="3"/>
    </row>
    <row r="855" spans="1:43" ht="15.75" customHeight="1">
      <c r="A855" s="52"/>
      <c r="B855" s="5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101"/>
      <c r="AI855" s="101"/>
      <c r="AJ855" s="112"/>
      <c r="AK855" s="3"/>
      <c r="AL855" s="1"/>
      <c r="AM855" s="2"/>
      <c r="AN855" s="3"/>
      <c r="AO855" s="3"/>
      <c r="AP855" s="3"/>
      <c r="AQ855" s="3"/>
    </row>
    <row r="856" spans="1:43" ht="15.75" customHeight="1">
      <c r="A856" s="52"/>
      <c r="B856" s="5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101"/>
      <c r="AI856" s="101"/>
      <c r="AJ856" s="112"/>
      <c r="AK856" s="3"/>
      <c r="AL856" s="1"/>
      <c r="AM856" s="2"/>
      <c r="AN856" s="3"/>
      <c r="AO856" s="3"/>
      <c r="AP856" s="3"/>
      <c r="AQ856" s="3"/>
    </row>
    <row r="857" spans="1:43" ht="15.75" customHeight="1">
      <c r="A857" s="52"/>
      <c r="B857" s="5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101"/>
      <c r="AI857" s="101"/>
      <c r="AJ857" s="112"/>
      <c r="AK857" s="3"/>
      <c r="AL857" s="1"/>
      <c r="AM857" s="2"/>
      <c r="AN857" s="3"/>
      <c r="AO857" s="3"/>
      <c r="AP857" s="3"/>
      <c r="AQ857" s="3"/>
    </row>
    <row r="858" spans="1:43" ht="15.75" customHeight="1">
      <c r="A858" s="52"/>
      <c r="B858" s="5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101"/>
      <c r="AI858" s="101"/>
      <c r="AJ858" s="112"/>
      <c r="AK858" s="3"/>
      <c r="AL858" s="1"/>
      <c r="AM858" s="2"/>
      <c r="AN858" s="3"/>
      <c r="AO858" s="3"/>
      <c r="AP858" s="3"/>
      <c r="AQ858" s="3"/>
    </row>
    <row r="859" spans="1:43" ht="15.75" customHeight="1">
      <c r="A859" s="52"/>
      <c r="B859" s="5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101"/>
      <c r="AI859" s="101"/>
      <c r="AJ859" s="112"/>
      <c r="AK859" s="3"/>
      <c r="AL859" s="1"/>
      <c r="AM859" s="2"/>
      <c r="AN859" s="3"/>
      <c r="AO859" s="3"/>
      <c r="AP859" s="3"/>
      <c r="AQ859" s="3"/>
    </row>
    <row r="860" spans="1:43" ht="15.75" customHeight="1">
      <c r="A860" s="52"/>
      <c r="B860" s="5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101"/>
      <c r="AI860" s="101"/>
      <c r="AJ860" s="112"/>
      <c r="AK860" s="3"/>
      <c r="AL860" s="1"/>
      <c r="AM860" s="2"/>
      <c r="AN860" s="3"/>
      <c r="AO860" s="3"/>
      <c r="AP860" s="3"/>
      <c r="AQ860" s="3"/>
    </row>
    <row r="861" spans="1:43" ht="15.75" customHeight="1">
      <c r="A861" s="52"/>
      <c r="B861" s="5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101"/>
      <c r="AI861" s="101"/>
      <c r="AJ861" s="112"/>
      <c r="AK861" s="3"/>
      <c r="AL861" s="1"/>
      <c r="AM861" s="2"/>
      <c r="AN861" s="3"/>
      <c r="AO861" s="3"/>
      <c r="AP861" s="3"/>
      <c r="AQ861" s="3"/>
    </row>
    <row r="862" spans="1:43" ht="15.75" customHeight="1">
      <c r="A862" s="52"/>
      <c r="B862" s="5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101"/>
      <c r="AI862" s="101"/>
      <c r="AJ862" s="112"/>
      <c r="AK862" s="3"/>
      <c r="AL862" s="1"/>
      <c r="AM862" s="2"/>
      <c r="AN862" s="3"/>
      <c r="AO862" s="3"/>
      <c r="AP862" s="3"/>
      <c r="AQ862" s="3"/>
    </row>
    <row r="863" spans="1:43" ht="15.75" customHeight="1">
      <c r="A863" s="52"/>
      <c r="B863" s="5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101"/>
      <c r="AI863" s="101"/>
      <c r="AJ863" s="112"/>
      <c r="AK863" s="3"/>
      <c r="AL863" s="1"/>
      <c r="AM863" s="2"/>
      <c r="AN863" s="3"/>
      <c r="AO863" s="3"/>
      <c r="AP863" s="3"/>
      <c r="AQ863" s="3"/>
    </row>
    <row r="864" spans="1:43" ht="15.75" customHeight="1">
      <c r="A864" s="52"/>
      <c r="B864" s="5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101"/>
      <c r="AI864" s="101"/>
      <c r="AJ864" s="112"/>
      <c r="AK864" s="3"/>
      <c r="AL864" s="1"/>
      <c r="AM864" s="2"/>
      <c r="AN864" s="3"/>
      <c r="AO864" s="3"/>
      <c r="AP864" s="3"/>
      <c r="AQ864" s="3"/>
    </row>
    <row r="865" spans="1:43" ht="15.75" customHeight="1">
      <c r="A865" s="52"/>
      <c r="B865" s="5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101"/>
      <c r="AI865" s="101"/>
      <c r="AJ865" s="112"/>
      <c r="AK865" s="3"/>
      <c r="AL865" s="1"/>
      <c r="AM865" s="2"/>
      <c r="AN865" s="3"/>
      <c r="AO865" s="3"/>
      <c r="AP865" s="3"/>
      <c r="AQ865" s="3"/>
    </row>
    <row r="866" spans="1:43" ht="15.75" customHeight="1">
      <c r="A866" s="52"/>
      <c r="B866" s="5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101"/>
      <c r="AI866" s="101"/>
      <c r="AJ866" s="112"/>
      <c r="AK866" s="3"/>
      <c r="AL866" s="1"/>
      <c r="AM866" s="2"/>
      <c r="AN866" s="3"/>
      <c r="AO866" s="3"/>
      <c r="AP866" s="3"/>
      <c r="AQ866" s="3"/>
    </row>
    <row r="867" spans="1:43" ht="15.75" customHeight="1">
      <c r="A867" s="52"/>
      <c r="B867" s="5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101"/>
      <c r="AI867" s="101"/>
      <c r="AJ867" s="112"/>
      <c r="AK867" s="3"/>
      <c r="AL867" s="1"/>
      <c r="AM867" s="2"/>
      <c r="AN867" s="3"/>
      <c r="AO867" s="3"/>
      <c r="AP867" s="3"/>
      <c r="AQ867" s="3"/>
    </row>
    <row r="868" spans="1:43" ht="15.75" customHeight="1">
      <c r="A868" s="52"/>
      <c r="B868" s="5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101"/>
      <c r="AI868" s="101"/>
      <c r="AJ868" s="112"/>
      <c r="AK868" s="3"/>
      <c r="AL868" s="1"/>
      <c r="AM868" s="2"/>
      <c r="AN868" s="3"/>
      <c r="AO868" s="3"/>
      <c r="AP868" s="3"/>
      <c r="AQ868" s="3"/>
    </row>
    <row r="869" spans="1:43" ht="15.75" customHeight="1">
      <c r="A869" s="52"/>
      <c r="B869" s="5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101"/>
      <c r="AI869" s="101"/>
      <c r="AJ869" s="112"/>
      <c r="AK869" s="3"/>
      <c r="AL869" s="1"/>
      <c r="AM869" s="2"/>
      <c r="AN869" s="3"/>
      <c r="AO869" s="3"/>
      <c r="AP869" s="3"/>
      <c r="AQ869" s="3"/>
    </row>
    <row r="870" spans="1:43" ht="15.75" customHeight="1">
      <c r="A870" s="52"/>
      <c r="B870" s="5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101"/>
      <c r="AI870" s="101"/>
      <c r="AJ870" s="112"/>
      <c r="AK870" s="3"/>
      <c r="AL870" s="1"/>
      <c r="AM870" s="2"/>
      <c r="AN870" s="3"/>
      <c r="AO870" s="3"/>
      <c r="AP870" s="3"/>
      <c r="AQ870" s="3"/>
    </row>
    <row r="871" spans="1:43" ht="15.75" customHeight="1">
      <c r="A871" s="52"/>
      <c r="B871" s="5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101"/>
      <c r="AI871" s="101"/>
      <c r="AJ871" s="112"/>
      <c r="AK871" s="3"/>
      <c r="AL871" s="1"/>
      <c r="AM871" s="2"/>
      <c r="AN871" s="3"/>
      <c r="AO871" s="3"/>
      <c r="AP871" s="3"/>
      <c r="AQ871" s="3"/>
    </row>
    <row r="872" spans="1:43" ht="15.75" customHeight="1">
      <c r="A872" s="52"/>
      <c r="B872" s="5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101"/>
      <c r="AI872" s="101"/>
      <c r="AJ872" s="112"/>
      <c r="AK872" s="3"/>
      <c r="AL872" s="1"/>
      <c r="AM872" s="2"/>
      <c r="AN872" s="3"/>
      <c r="AO872" s="3"/>
      <c r="AP872" s="3"/>
      <c r="AQ872" s="3"/>
    </row>
    <row r="873" spans="1:43" ht="15.75" customHeight="1">
      <c r="A873" s="52"/>
      <c r="B873" s="5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101"/>
      <c r="AI873" s="101"/>
      <c r="AJ873" s="112"/>
      <c r="AK873" s="3"/>
      <c r="AL873" s="1"/>
      <c r="AM873" s="2"/>
      <c r="AN873" s="3"/>
      <c r="AO873" s="3"/>
      <c r="AP873" s="3"/>
      <c r="AQ873" s="3"/>
    </row>
    <row r="874" spans="1:43" ht="15.75" customHeight="1">
      <c r="A874" s="52"/>
      <c r="B874" s="5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101"/>
      <c r="AI874" s="101"/>
      <c r="AJ874" s="112"/>
      <c r="AK874" s="3"/>
      <c r="AL874" s="1"/>
      <c r="AM874" s="2"/>
      <c r="AN874" s="3"/>
      <c r="AO874" s="3"/>
      <c r="AP874" s="3"/>
      <c r="AQ874" s="3"/>
    </row>
    <row r="875" spans="1:43" ht="15.75" customHeight="1">
      <c r="A875" s="52"/>
      <c r="B875" s="5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101"/>
      <c r="AI875" s="101"/>
      <c r="AJ875" s="112"/>
      <c r="AK875" s="3"/>
      <c r="AL875" s="1"/>
      <c r="AM875" s="2"/>
      <c r="AN875" s="3"/>
      <c r="AO875" s="3"/>
      <c r="AP875" s="3"/>
      <c r="AQ875" s="3"/>
    </row>
    <row r="876" spans="1:43" ht="15.75" customHeight="1">
      <c r="A876" s="52"/>
      <c r="B876" s="5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101"/>
      <c r="AI876" s="101"/>
      <c r="AJ876" s="112"/>
      <c r="AK876" s="3"/>
      <c r="AL876" s="1"/>
      <c r="AM876" s="2"/>
      <c r="AN876" s="3"/>
      <c r="AO876" s="3"/>
      <c r="AP876" s="3"/>
      <c r="AQ876" s="3"/>
    </row>
    <row r="877" spans="1:43" ht="15.75" customHeight="1">
      <c r="A877" s="52"/>
      <c r="B877" s="5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101"/>
      <c r="AI877" s="101"/>
      <c r="AJ877" s="112"/>
      <c r="AK877" s="3"/>
      <c r="AL877" s="1"/>
      <c r="AM877" s="2"/>
      <c r="AN877" s="3"/>
      <c r="AO877" s="3"/>
      <c r="AP877" s="3"/>
      <c r="AQ877" s="3"/>
    </row>
    <row r="878" spans="1:43" ht="15.75" customHeight="1">
      <c r="A878" s="52"/>
      <c r="B878" s="5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101"/>
      <c r="AI878" s="101"/>
      <c r="AJ878" s="112"/>
      <c r="AK878" s="3"/>
      <c r="AL878" s="1"/>
      <c r="AM878" s="2"/>
      <c r="AN878" s="3"/>
      <c r="AO878" s="3"/>
      <c r="AP878" s="3"/>
      <c r="AQ878" s="3"/>
    </row>
    <row r="879" spans="1:43" ht="15.75" customHeight="1">
      <c r="A879" s="52"/>
      <c r="B879" s="5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101"/>
      <c r="AI879" s="101"/>
      <c r="AJ879" s="112"/>
      <c r="AK879" s="3"/>
      <c r="AL879" s="1"/>
      <c r="AM879" s="2"/>
      <c r="AN879" s="3"/>
      <c r="AO879" s="3"/>
      <c r="AP879" s="3"/>
      <c r="AQ879" s="3"/>
    </row>
    <row r="880" spans="1:43" ht="15.75" customHeight="1">
      <c r="A880" s="52"/>
      <c r="B880" s="5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101"/>
      <c r="AI880" s="101"/>
      <c r="AJ880" s="112"/>
      <c r="AK880" s="3"/>
      <c r="AL880" s="1"/>
      <c r="AM880" s="2"/>
      <c r="AN880" s="3"/>
      <c r="AO880" s="3"/>
      <c r="AP880" s="3"/>
      <c r="AQ880" s="3"/>
    </row>
    <row r="881" spans="1:43" ht="15.75" customHeight="1">
      <c r="A881" s="52"/>
      <c r="B881" s="5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101"/>
      <c r="AI881" s="101"/>
      <c r="AJ881" s="112"/>
      <c r="AK881" s="3"/>
      <c r="AL881" s="1"/>
      <c r="AM881" s="2"/>
      <c r="AN881" s="3"/>
      <c r="AO881" s="3"/>
      <c r="AP881" s="3"/>
      <c r="AQ881" s="3"/>
    </row>
    <row r="882" spans="1:43" ht="15.75" customHeight="1">
      <c r="A882" s="52"/>
      <c r="B882" s="5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101"/>
      <c r="AI882" s="101"/>
      <c r="AJ882" s="112"/>
      <c r="AK882" s="3"/>
      <c r="AL882" s="1"/>
      <c r="AM882" s="2"/>
      <c r="AN882" s="3"/>
      <c r="AO882" s="3"/>
      <c r="AP882" s="3"/>
      <c r="AQ882" s="3"/>
    </row>
    <row r="883" spans="1:43" ht="15.75" customHeight="1">
      <c r="A883" s="52"/>
      <c r="B883" s="5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101"/>
      <c r="AI883" s="101"/>
      <c r="AJ883" s="112"/>
      <c r="AK883" s="3"/>
      <c r="AL883" s="1"/>
      <c r="AM883" s="2"/>
      <c r="AN883" s="3"/>
      <c r="AO883" s="3"/>
      <c r="AP883" s="3"/>
      <c r="AQ883" s="3"/>
    </row>
    <row r="884" spans="1:43" ht="15.75" customHeight="1">
      <c r="A884" s="52"/>
      <c r="B884" s="5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101"/>
      <c r="AI884" s="101"/>
      <c r="AJ884" s="112"/>
      <c r="AK884" s="3"/>
      <c r="AL884" s="1"/>
      <c r="AM884" s="2"/>
      <c r="AN884" s="3"/>
      <c r="AO884" s="3"/>
      <c r="AP884" s="3"/>
      <c r="AQ884" s="3"/>
    </row>
    <row r="885" spans="1:43" ht="15.75" customHeight="1">
      <c r="A885" s="52"/>
      <c r="B885" s="5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101"/>
      <c r="AI885" s="101"/>
      <c r="AJ885" s="112"/>
      <c r="AK885" s="3"/>
      <c r="AL885" s="1"/>
      <c r="AM885" s="2"/>
      <c r="AN885" s="3"/>
      <c r="AO885" s="3"/>
      <c r="AP885" s="3"/>
      <c r="AQ885" s="3"/>
    </row>
    <row r="886" spans="1:43" ht="15.75" customHeight="1">
      <c r="A886" s="52"/>
      <c r="B886" s="5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101"/>
      <c r="AI886" s="101"/>
      <c r="AJ886" s="112"/>
      <c r="AK886" s="3"/>
      <c r="AL886" s="1"/>
      <c r="AM886" s="2"/>
      <c r="AN886" s="3"/>
      <c r="AO886" s="3"/>
      <c r="AP886" s="3"/>
      <c r="AQ886" s="3"/>
    </row>
    <row r="887" spans="1:43" ht="15.75" customHeight="1">
      <c r="A887" s="52"/>
      <c r="B887" s="5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101"/>
      <c r="AI887" s="101"/>
      <c r="AJ887" s="112"/>
      <c r="AK887" s="3"/>
      <c r="AL887" s="1"/>
      <c r="AM887" s="2"/>
      <c r="AN887" s="3"/>
      <c r="AO887" s="3"/>
      <c r="AP887" s="3"/>
      <c r="AQ887" s="3"/>
    </row>
    <row r="888" spans="1:43" ht="15.75" customHeight="1">
      <c r="A888" s="52"/>
      <c r="B888" s="5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101"/>
      <c r="AI888" s="101"/>
      <c r="AJ888" s="112"/>
      <c r="AK888" s="3"/>
      <c r="AL888" s="1"/>
      <c r="AM888" s="2"/>
      <c r="AN888" s="3"/>
      <c r="AO888" s="3"/>
      <c r="AP888" s="3"/>
      <c r="AQ888" s="3"/>
    </row>
    <row r="889" spans="1:43" ht="15.75" customHeight="1">
      <c r="A889" s="52"/>
      <c r="B889" s="5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101"/>
      <c r="AI889" s="101"/>
      <c r="AJ889" s="112"/>
      <c r="AK889" s="3"/>
      <c r="AL889" s="1"/>
      <c r="AM889" s="2"/>
      <c r="AN889" s="3"/>
      <c r="AO889" s="3"/>
      <c r="AP889" s="3"/>
      <c r="AQ889" s="3"/>
    </row>
    <row r="890" spans="1:43" ht="15.75" customHeight="1">
      <c r="A890" s="52"/>
      <c r="B890" s="5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101"/>
      <c r="AI890" s="101"/>
      <c r="AJ890" s="112"/>
      <c r="AK890" s="3"/>
      <c r="AL890" s="1"/>
      <c r="AM890" s="2"/>
      <c r="AN890" s="3"/>
      <c r="AO890" s="3"/>
      <c r="AP890" s="3"/>
      <c r="AQ890" s="3"/>
    </row>
    <row r="891" spans="1:43" ht="15.75" customHeight="1">
      <c r="A891" s="52"/>
      <c r="B891" s="5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101"/>
      <c r="AI891" s="101"/>
      <c r="AJ891" s="112"/>
      <c r="AK891" s="3"/>
      <c r="AL891" s="1"/>
      <c r="AM891" s="2"/>
      <c r="AN891" s="3"/>
      <c r="AO891" s="3"/>
      <c r="AP891" s="3"/>
      <c r="AQ891" s="3"/>
    </row>
    <row r="892" spans="1:43" ht="15.75" customHeight="1">
      <c r="A892" s="52"/>
      <c r="B892" s="5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101"/>
      <c r="AI892" s="101"/>
      <c r="AJ892" s="112"/>
      <c r="AK892" s="3"/>
      <c r="AL892" s="1"/>
      <c r="AM892" s="2"/>
      <c r="AN892" s="3"/>
      <c r="AO892" s="3"/>
      <c r="AP892" s="3"/>
      <c r="AQ892" s="3"/>
    </row>
    <row r="893" spans="1:43" ht="15.75" customHeight="1">
      <c r="A893" s="52"/>
      <c r="B893" s="5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101"/>
      <c r="AI893" s="101"/>
      <c r="AJ893" s="112"/>
      <c r="AK893" s="3"/>
      <c r="AL893" s="1"/>
      <c r="AM893" s="2"/>
      <c r="AN893" s="3"/>
      <c r="AO893" s="3"/>
      <c r="AP893" s="3"/>
      <c r="AQ893" s="3"/>
    </row>
    <row r="894" spans="1:43" ht="15.75" customHeight="1">
      <c r="A894" s="52"/>
      <c r="B894" s="5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101"/>
      <c r="AI894" s="101"/>
      <c r="AJ894" s="112"/>
      <c r="AK894" s="3"/>
      <c r="AL894" s="1"/>
      <c r="AM894" s="2"/>
      <c r="AN894" s="3"/>
      <c r="AO894" s="3"/>
      <c r="AP894" s="3"/>
      <c r="AQ894" s="3"/>
    </row>
    <row r="895" spans="1:43" ht="15.75" customHeight="1">
      <c r="A895" s="52"/>
      <c r="B895" s="5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101"/>
      <c r="AI895" s="101"/>
      <c r="AJ895" s="112"/>
      <c r="AK895" s="3"/>
      <c r="AL895" s="1"/>
      <c r="AM895" s="2"/>
      <c r="AN895" s="3"/>
      <c r="AO895" s="3"/>
      <c r="AP895" s="3"/>
      <c r="AQ895" s="3"/>
    </row>
    <row r="896" spans="1:43" ht="15.75" customHeight="1">
      <c r="A896" s="52"/>
      <c r="B896" s="5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101"/>
      <c r="AI896" s="101"/>
      <c r="AJ896" s="112"/>
      <c r="AK896" s="3"/>
      <c r="AL896" s="1"/>
      <c r="AM896" s="2"/>
      <c r="AN896" s="3"/>
      <c r="AO896" s="3"/>
      <c r="AP896" s="3"/>
      <c r="AQ896" s="3"/>
    </row>
    <row r="897" spans="1:43" ht="15.75" customHeight="1">
      <c r="A897" s="52"/>
      <c r="B897" s="5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101"/>
      <c r="AI897" s="101"/>
      <c r="AJ897" s="112"/>
      <c r="AK897" s="3"/>
      <c r="AL897" s="1"/>
      <c r="AM897" s="2"/>
      <c r="AN897" s="3"/>
      <c r="AO897" s="3"/>
      <c r="AP897" s="3"/>
      <c r="AQ897" s="3"/>
    </row>
    <row r="898" spans="1:43" ht="15.75" customHeight="1">
      <c r="A898" s="52"/>
      <c r="B898" s="5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101"/>
      <c r="AI898" s="101"/>
      <c r="AJ898" s="112"/>
      <c r="AK898" s="3"/>
      <c r="AL898" s="1"/>
      <c r="AM898" s="2"/>
      <c r="AN898" s="3"/>
      <c r="AO898" s="3"/>
      <c r="AP898" s="3"/>
      <c r="AQ898" s="3"/>
    </row>
    <row r="899" spans="1:43" ht="15.75" customHeight="1">
      <c r="A899" s="52"/>
      <c r="B899" s="5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101"/>
      <c r="AI899" s="101"/>
      <c r="AJ899" s="112"/>
      <c r="AK899" s="3"/>
      <c r="AL899" s="1"/>
      <c r="AM899" s="2"/>
      <c r="AN899" s="3"/>
      <c r="AO899" s="3"/>
      <c r="AP899" s="3"/>
      <c r="AQ899" s="3"/>
    </row>
    <row r="900" spans="1:43" ht="15.75" customHeight="1">
      <c r="A900" s="52"/>
      <c r="B900" s="5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101"/>
      <c r="AI900" s="101"/>
      <c r="AJ900" s="112"/>
      <c r="AK900" s="3"/>
      <c r="AL900" s="1"/>
      <c r="AM900" s="2"/>
      <c r="AN900" s="3"/>
      <c r="AO900" s="3"/>
      <c r="AP900" s="3"/>
      <c r="AQ900" s="3"/>
    </row>
    <row r="901" spans="1:43" ht="15.75" customHeight="1">
      <c r="A901" s="52"/>
      <c r="B901" s="5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101"/>
      <c r="AI901" s="101"/>
      <c r="AJ901" s="112"/>
      <c r="AK901" s="3"/>
      <c r="AL901" s="1"/>
      <c r="AM901" s="2"/>
      <c r="AN901" s="3"/>
      <c r="AO901" s="3"/>
      <c r="AP901" s="3"/>
      <c r="AQ901" s="3"/>
    </row>
    <row r="902" spans="1:43" ht="15.75" customHeight="1">
      <c r="A902" s="52"/>
      <c r="B902" s="5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101"/>
      <c r="AI902" s="101"/>
      <c r="AJ902" s="112"/>
      <c r="AK902" s="3"/>
      <c r="AL902" s="1"/>
      <c r="AM902" s="2"/>
      <c r="AN902" s="3"/>
      <c r="AO902" s="3"/>
      <c r="AP902" s="3"/>
      <c r="AQ902" s="3"/>
    </row>
    <row r="903" spans="1:43" ht="15.75" customHeight="1">
      <c r="A903" s="52"/>
      <c r="B903" s="5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101"/>
      <c r="AI903" s="101"/>
      <c r="AJ903" s="112"/>
      <c r="AK903" s="3"/>
      <c r="AL903" s="1"/>
      <c r="AM903" s="2"/>
      <c r="AN903" s="3"/>
      <c r="AO903" s="3"/>
      <c r="AP903" s="3"/>
      <c r="AQ903" s="3"/>
    </row>
    <row r="904" spans="1:43" ht="15.75" customHeight="1">
      <c r="A904" s="52"/>
      <c r="B904" s="5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101"/>
      <c r="AI904" s="101"/>
      <c r="AJ904" s="112"/>
      <c r="AK904" s="3"/>
      <c r="AL904" s="1"/>
      <c r="AM904" s="2"/>
      <c r="AN904" s="3"/>
      <c r="AO904" s="3"/>
      <c r="AP904" s="3"/>
      <c r="AQ904" s="3"/>
    </row>
    <row r="905" spans="1:43" ht="15.75" customHeight="1">
      <c r="A905" s="52"/>
      <c r="B905" s="5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101"/>
      <c r="AI905" s="101"/>
      <c r="AJ905" s="112"/>
      <c r="AK905" s="3"/>
      <c r="AL905" s="1"/>
      <c r="AM905" s="2"/>
      <c r="AN905" s="3"/>
      <c r="AO905" s="3"/>
      <c r="AP905" s="3"/>
      <c r="AQ905" s="3"/>
    </row>
    <row r="906" spans="1:43" ht="15.75" customHeight="1">
      <c r="A906" s="52"/>
      <c r="B906" s="5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101"/>
      <c r="AI906" s="101"/>
      <c r="AJ906" s="112"/>
      <c r="AK906" s="3"/>
      <c r="AL906" s="1"/>
      <c r="AM906" s="2"/>
      <c r="AN906" s="3"/>
      <c r="AO906" s="3"/>
      <c r="AP906" s="3"/>
      <c r="AQ906" s="3"/>
    </row>
    <row r="907" spans="1:43" ht="15.75" customHeight="1">
      <c r="A907" s="52"/>
      <c r="B907" s="5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101"/>
      <c r="AI907" s="101"/>
      <c r="AJ907" s="112"/>
      <c r="AK907" s="3"/>
      <c r="AL907" s="1"/>
      <c r="AM907" s="2"/>
      <c r="AN907" s="3"/>
      <c r="AO907" s="3"/>
      <c r="AP907" s="3"/>
      <c r="AQ907" s="3"/>
    </row>
    <row r="908" spans="1:43" ht="15.75" customHeight="1">
      <c r="A908" s="52"/>
      <c r="B908" s="5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101"/>
      <c r="AI908" s="101"/>
      <c r="AJ908" s="112"/>
      <c r="AK908" s="3"/>
      <c r="AL908" s="1"/>
      <c r="AM908" s="2"/>
      <c r="AN908" s="3"/>
      <c r="AO908" s="3"/>
      <c r="AP908" s="3"/>
      <c r="AQ908" s="3"/>
    </row>
    <row r="909" spans="1:43" ht="15.75" customHeight="1">
      <c r="A909" s="52"/>
      <c r="B909" s="5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101"/>
      <c r="AI909" s="101"/>
      <c r="AJ909" s="112"/>
      <c r="AK909" s="3"/>
      <c r="AL909" s="1"/>
      <c r="AM909" s="2"/>
      <c r="AN909" s="3"/>
      <c r="AO909" s="3"/>
      <c r="AP909" s="3"/>
      <c r="AQ909" s="3"/>
    </row>
    <row r="910" spans="1:43" ht="15.75" customHeight="1">
      <c r="A910" s="52"/>
      <c r="B910" s="5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101"/>
      <c r="AI910" s="101"/>
      <c r="AJ910" s="112"/>
      <c r="AK910" s="3"/>
      <c r="AL910" s="1"/>
      <c r="AM910" s="2"/>
      <c r="AN910" s="3"/>
      <c r="AO910" s="3"/>
      <c r="AP910" s="3"/>
      <c r="AQ910" s="3"/>
    </row>
    <row r="911" spans="1:43" ht="15.75" customHeight="1">
      <c r="A911" s="52"/>
      <c r="B911" s="5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101"/>
      <c r="AI911" s="101"/>
      <c r="AJ911" s="112"/>
      <c r="AK911" s="3"/>
      <c r="AL911" s="1"/>
      <c r="AM911" s="2"/>
      <c r="AN911" s="3"/>
      <c r="AO911" s="3"/>
      <c r="AP911" s="3"/>
      <c r="AQ911" s="3"/>
    </row>
    <row r="912" spans="1:43" ht="15.75" customHeight="1">
      <c r="A912" s="52"/>
      <c r="B912" s="5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101"/>
      <c r="AI912" s="101"/>
      <c r="AJ912" s="112"/>
      <c r="AK912" s="3"/>
      <c r="AL912" s="1"/>
      <c r="AM912" s="2"/>
      <c r="AN912" s="3"/>
      <c r="AO912" s="3"/>
      <c r="AP912" s="3"/>
      <c r="AQ912" s="3"/>
    </row>
    <row r="913" spans="1:43" ht="15.75" customHeight="1">
      <c r="A913" s="52"/>
      <c r="B913" s="5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101"/>
      <c r="AI913" s="101"/>
      <c r="AJ913" s="112"/>
      <c r="AK913" s="3"/>
      <c r="AL913" s="1"/>
      <c r="AM913" s="2"/>
      <c r="AN913" s="3"/>
      <c r="AO913" s="3"/>
      <c r="AP913" s="3"/>
      <c r="AQ913" s="3"/>
    </row>
    <row r="914" spans="1:43" ht="15.75" customHeight="1">
      <c r="A914" s="52"/>
      <c r="B914" s="5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101"/>
      <c r="AI914" s="101"/>
      <c r="AJ914" s="112"/>
      <c r="AK914" s="3"/>
      <c r="AL914" s="1"/>
      <c r="AM914" s="2"/>
      <c r="AN914" s="3"/>
      <c r="AO914" s="3"/>
      <c r="AP914" s="3"/>
      <c r="AQ914" s="3"/>
    </row>
    <row r="915" spans="1:43" ht="15.75" customHeight="1">
      <c r="A915" s="52"/>
      <c r="B915" s="5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101"/>
      <c r="AI915" s="101"/>
      <c r="AJ915" s="112"/>
      <c r="AK915" s="3"/>
      <c r="AL915" s="1"/>
      <c r="AM915" s="2"/>
      <c r="AN915" s="3"/>
      <c r="AO915" s="3"/>
      <c r="AP915" s="3"/>
      <c r="AQ915" s="3"/>
    </row>
    <row r="916" spans="1:43" ht="15.75" customHeight="1">
      <c r="A916" s="52"/>
      <c r="B916" s="5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101"/>
      <c r="AI916" s="101"/>
      <c r="AJ916" s="112"/>
      <c r="AK916" s="3"/>
      <c r="AL916" s="1"/>
      <c r="AM916" s="2"/>
      <c r="AN916" s="3"/>
      <c r="AO916" s="3"/>
      <c r="AP916" s="3"/>
      <c r="AQ916" s="3"/>
    </row>
    <row r="917" spans="1:43" ht="15.75" customHeight="1">
      <c r="A917" s="52"/>
      <c r="B917" s="5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101"/>
      <c r="AI917" s="101"/>
      <c r="AJ917" s="112"/>
      <c r="AK917" s="3"/>
      <c r="AL917" s="1"/>
      <c r="AM917" s="2"/>
      <c r="AN917" s="3"/>
      <c r="AO917" s="3"/>
      <c r="AP917" s="3"/>
      <c r="AQ917" s="3"/>
    </row>
    <row r="918" spans="1:43" ht="15.75" customHeight="1">
      <c r="A918" s="52"/>
      <c r="B918" s="5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101"/>
      <c r="AI918" s="101"/>
      <c r="AJ918" s="112"/>
      <c r="AK918" s="3"/>
      <c r="AL918" s="1"/>
      <c r="AM918" s="2"/>
      <c r="AN918" s="3"/>
      <c r="AO918" s="3"/>
      <c r="AP918" s="3"/>
      <c r="AQ918" s="3"/>
    </row>
    <row r="919" spans="1:43" ht="15.75" customHeight="1">
      <c r="A919" s="52"/>
      <c r="B919" s="5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101"/>
      <c r="AI919" s="101"/>
      <c r="AJ919" s="112"/>
      <c r="AK919" s="3"/>
      <c r="AL919" s="1"/>
      <c r="AM919" s="2"/>
      <c r="AN919" s="3"/>
      <c r="AO919" s="3"/>
      <c r="AP919" s="3"/>
      <c r="AQ919" s="3"/>
    </row>
    <row r="920" spans="1:43" ht="15.75" customHeight="1">
      <c r="A920" s="52"/>
      <c r="B920" s="5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101"/>
      <c r="AI920" s="101"/>
      <c r="AJ920" s="112"/>
      <c r="AK920" s="3"/>
      <c r="AL920" s="1"/>
      <c r="AM920" s="2"/>
      <c r="AN920" s="3"/>
      <c r="AO920" s="3"/>
      <c r="AP920" s="3"/>
      <c r="AQ920" s="3"/>
    </row>
    <row r="921" spans="1:43" ht="15.75" customHeight="1">
      <c r="A921" s="52"/>
      <c r="B921" s="5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101"/>
      <c r="AI921" s="101"/>
      <c r="AJ921" s="112"/>
      <c r="AK921" s="3"/>
      <c r="AL921" s="1"/>
      <c r="AM921" s="2"/>
      <c r="AN921" s="3"/>
      <c r="AO921" s="3"/>
      <c r="AP921" s="3"/>
      <c r="AQ921" s="3"/>
    </row>
    <row r="922" spans="1:43" ht="15.75" customHeight="1">
      <c r="A922" s="52"/>
      <c r="B922" s="5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101"/>
      <c r="AI922" s="101"/>
      <c r="AJ922" s="112"/>
      <c r="AK922" s="3"/>
      <c r="AL922" s="1"/>
      <c r="AM922" s="2"/>
      <c r="AN922" s="3"/>
      <c r="AO922" s="3"/>
      <c r="AP922" s="3"/>
      <c r="AQ922" s="3"/>
    </row>
    <row r="923" spans="1:43" ht="15.75" customHeight="1">
      <c r="A923" s="52"/>
      <c r="B923" s="5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101"/>
      <c r="AI923" s="101"/>
      <c r="AJ923" s="112"/>
      <c r="AK923" s="3"/>
      <c r="AL923" s="1"/>
      <c r="AM923" s="2"/>
      <c r="AN923" s="3"/>
      <c r="AO923" s="3"/>
      <c r="AP923" s="3"/>
      <c r="AQ923" s="3"/>
    </row>
    <row r="924" spans="1:43" ht="15.75" customHeight="1">
      <c r="A924" s="52"/>
      <c r="B924" s="5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101"/>
      <c r="AI924" s="101"/>
      <c r="AJ924" s="112"/>
      <c r="AK924" s="3"/>
      <c r="AL924" s="1"/>
      <c r="AM924" s="2"/>
      <c r="AN924" s="3"/>
      <c r="AO924" s="3"/>
      <c r="AP924" s="3"/>
      <c r="AQ924" s="3"/>
    </row>
    <row r="925" spans="1:43" ht="15.75" customHeight="1">
      <c r="A925" s="52"/>
      <c r="B925" s="5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101"/>
      <c r="AI925" s="101"/>
      <c r="AJ925" s="112"/>
      <c r="AK925" s="3"/>
      <c r="AL925" s="1"/>
      <c r="AM925" s="2"/>
      <c r="AN925" s="3"/>
      <c r="AO925" s="3"/>
      <c r="AP925" s="3"/>
      <c r="AQ925" s="3"/>
    </row>
    <row r="926" spans="1:43" ht="15.75" customHeight="1">
      <c r="A926" s="52"/>
      <c r="B926" s="5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101"/>
      <c r="AI926" s="101"/>
      <c r="AJ926" s="112"/>
      <c r="AK926" s="3"/>
      <c r="AL926" s="1"/>
      <c r="AM926" s="2"/>
      <c r="AN926" s="3"/>
      <c r="AO926" s="3"/>
      <c r="AP926" s="3"/>
      <c r="AQ926" s="3"/>
    </row>
    <row r="927" spans="1:43" ht="15.75" customHeight="1">
      <c r="A927" s="52"/>
      <c r="B927" s="5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101"/>
      <c r="AI927" s="101"/>
      <c r="AJ927" s="112"/>
      <c r="AK927" s="3"/>
      <c r="AL927" s="1"/>
      <c r="AM927" s="2"/>
      <c r="AN927" s="3"/>
      <c r="AO927" s="3"/>
      <c r="AP927" s="3"/>
      <c r="AQ927" s="3"/>
    </row>
    <row r="928" spans="1:43" ht="15.75" customHeight="1">
      <c r="A928" s="52"/>
      <c r="B928" s="5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101"/>
      <c r="AI928" s="101"/>
      <c r="AJ928" s="112"/>
      <c r="AK928" s="3"/>
      <c r="AL928" s="1"/>
      <c r="AM928" s="2"/>
      <c r="AN928" s="3"/>
      <c r="AO928" s="3"/>
      <c r="AP928" s="3"/>
      <c r="AQ928" s="3"/>
    </row>
    <row r="929" spans="1:43" ht="15.75" customHeight="1">
      <c r="A929" s="52"/>
      <c r="B929" s="5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101"/>
      <c r="AI929" s="101"/>
      <c r="AJ929" s="112"/>
      <c r="AK929" s="3"/>
      <c r="AL929" s="1"/>
      <c r="AM929" s="2"/>
      <c r="AN929" s="3"/>
      <c r="AO929" s="3"/>
      <c r="AP929" s="3"/>
      <c r="AQ929" s="3"/>
    </row>
    <row r="930" spans="1:43" ht="15.75" customHeight="1">
      <c r="A930" s="52"/>
      <c r="B930" s="5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101"/>
      <c r="AI930" s="101"/>
      <c r="AJ930" s="112"/>
      <c r="AK930" s="3"/>
      <c r="AL930" s="1"/>
      <c r="AM930" s="2"/>
      <c r="AN930" s="3"/>
      <c r="AO930" s="3"/>
      <c r="AP930" s="3"/>
      <c r="AQ930" s="3"/>
    </row>
    <row r="931" spans="1:43" ht="15.75" customHeight="1">
      <c r="A931" s="52"/>
      <c r="B931" s="5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101"/>
      <c r="AI931" s="101"/>
      <c r="AJ931" s="112"/>
      <c r="AK931" s="3"/>
      <c r="AL931" s="1"/>
      <c r="AM931" s="2"/>
      <c r="AN931" s="3"/>
      <c r="AO931" s="3"/>
      <c r="AP931" s="3"/>
      <c r="AQ931" s="3"/>
    </row>
    <row r="932" spans="1:43" ht="15.75" customHeight="1">
      <c r="A932" s="52"/>
      <c r="B932" s="5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101"/>
      <c r="AI932" s="101"/>
      <c r="AJ932" s="112"/>
      <c r="AK932" s="3"/>
      <c r="AL932" s="1"/>
      <c r="AM932" s="2"/>
      <c r="AN932" s="3"/>
      <c r="AO932" s="3"/>
      <c r="AP932" s="3"/>
      <c r="AQ932" s="3"/>
    </row>
    <row r="933" spans="1:43" ht="15.75" customHeight="1">
      <c r="A933" s="52"/>
      <c r="B933" s="5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101"/>
      <c r="AI933" s="101"/>
      <c r="AJ933" s="112"/>
      <c r="AK933" s="3"/>
      <c r="AL933" s="1"/>
      <c r="AM933" s="2"/>
      <c r="AN933" s="3"/>
      <c r="AO933" s="3"/>
      <c r="AP933" s="3"/>
      <c r="AQ933" s="3"/>
    </row>
    <row r="934" spans="1:43" ht="15.75" customHeight="1">
      <c r="A934" s="52"/>
      <c r="B934" s="5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101"/>
      <c r="AI934" s="101"/>
      <c r="AJ934" s="112"/>
      <c r="AK934" s="3"/>
      <c r="AL934" s="1"/>
      <c r="AM934" s="2"/>
      <c r="AN934" s="3"/>
      <c r="AO934" s="3"/>
      <c r="AP934" s="3"/>
      <c r="AQ934" s="3"/>
    </row>
    <row r="935" spans="1:43" ht="15.75" customHeight="1">
      <c r="A935" s="52"/>
      <c r="B935" s="5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101"/>
      <c r="AI935" s="101"/>
      <c r="AJ935" s="112"/>
      <c r="AK935" s="3"/>
      <c r="AL935" s="1"/>
      <c r="AM935" s="2"/>
      <c r="AN935" s="3"/>
      <c r="AO935" s="3"/>
      <c r="AP935" s="3"/>
      <c r="AQ935" s="3"/>
    </row>
    <row r="936" spans="1:43" ht="15.75" customHeight="1">
      <c r="A936" s="52"/>
      <c r="B936" s="5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101"/>
      <c r="AI936" s="101"/>
      <c r="AJ936" s="112"/>
      <c r="AK936" s="3"/>
      <c r="AL936" s="1"/>
      <c r="AM936" s="2"/>
      <c r="AN936" s="3"/>
      <c r="AO936" s="3"/>
      <c r="AP936" s="3"/>
      <c r="AQ936" s="3"/>
    </row>
    <row r="937" spans="1:43" ht="15.75" customHeight="1">
      <c r="A937" s="52"/>
      <c r="B937" s="5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101"/>
      <c r="AI937" s="101"/>
      <c r="AJ937" s="112"/>
      <c r="AK937" s="3"/>
      <c r="AL937" s="1"/>
      <c r="AM937" s="2"/>
      <c r="AN937" s="3"/>
      <c r="AO937" s="3"/>
      <c r="AP937" s="3"/>
      <c r="AQ937" s="3"/>
    </row>
    <row r="938" spans="1:43" ht="15.75" customHeight="1">
      <c r="A938" s="52"/>
      <c r="B938" s="5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101"/>
      <c r="AI938" s="101"/>
      <c r="AJ938" s="112"/>
      <c r="AK938" s="3"/>
      <c r="AL938" s="1"/>
      <c r="AM938" s="2"/>
      <c r="AN938" s="3"/>
      <c r="AO938" s="3"/>
      <c r="AP938" s="3"/>
      <c r="AQ938" s="3"/>
    </row>
    <row r="939" spans="1:43" ht="15.75" customHeight="1">
      <c r="A939" s="52"/>
      <c r="B939" s="5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101"/>
      <c r="AI939" s="101"/>
      <c r="AJ939" s="112"/>
      <c r="AK939" s="3"/>
      <c r="AL939" s="1"/>
      <c r="AM939" s="2"/>
      <c r="AN939" s="3"/>
      <c r="AO939" s="3"/>
      <c r="AP939" s="3"/>
      <c r="AQ939" s="3"/>
    </row>
    <row r="940" spans="1:43" ht="15.75" customHeight="1">
      <c r="A940" s="52"/>
      <c r="B940" s="5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101"/>
      <c r="AI940" s="101"/>
      <c r="AJ940" s="112"/>
      <c r="AK940" s="3"/>
      <c r="AL940" s="1"/>
      <c r="AM940" s="2"/>
      <c r="AN940" s="3"/>
      <c r="AO940" s="3"/>
      <c r="AP940" s="3"/>
      <c r="AQ940" s="3"/>
    </row>
    <row r="941" spans="1:43" ht="15.75" customHeight="1">
      <c r="A941" s="52"/>
      <c r="B941" s="5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101"/>
      <c r="AI941" s="101"/>
      <c r="AJ941" s="112"/>
      <c r="AK941" s="3"/>
      <c r="AL941" s="1"/>
      <c r="AM941" s="2"/>
      <c r="AN941" s="3"/>
      <c r="AO941" s="3"/>
      <c r="AP941" s="3"/>
      <c r="AQ941" s="3"/>
    </row>
    <row r="942" spans="1:43" ht="15.75" customHeight="1">
      <c r="A942" s="52"/>
      <c r="B942" s="5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101"/>
      <c r="AI942" s="101"/>
      <c r="AJ942" s="112"/>
      <c r="AK942" s="3"/>
      <c r="AL942" s="1"/>
      <c r="AM942" s="2"/>
      <c r="AN942" s="3"/>
      <c r="AO942" s="3"/>
      <c r="AP942" s="3"/>
      <c r="AQ942" s="3"/>
    </row>
    <row r="943" spans="1:43" ht="15.75" customHeight="1">
      <c r="A943" s="52"/>
      <c r="B943" s="5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101"/>
      <c r="AI943" s="101"/>
      <c r="AJ943" s="112"/>
      <c r="AK943" s="3"/>
      <c r="AL943" s="1"/>
      <c r="AM943" s="2"/>
      <c r="AN943" s="3"/>
      <c r="AO943" s="3"/>
      <c r="AP943" s="3"/>
      <c r="AQ943" s="3"/>
    </row>
    <row r="944" spans="1:43" ht="15.75" customHeight="1">
      <c r="A944" s="52"/>
      <c r="B944" s="5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101"/>
      <c r="AI944" s="101"/>
      <c r="AJ944" s="112"/>
      <c r="AK944" s="3"/>
      <c r="AL944" s="1"/>
      <c r="AM944" s="2"/>
      <c r="AN944" s="3"/>
      <c r="AO944" s="3"/>
      <c r="AP944" s="3"/>
      <c r="AQ944" s="3"/>
    </row>
    <row r="945" spans="1:43" ht="15.75" customHeight="1">
      <c r="A945" s="52"/>
      <c r="B945" s="5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101"/>
      <c r="AI945" s="101"/>
      <c r="AJ945" s="112"/>
      <c r="AK945" s="3"/>
      <c r="AL945" s="1"/>
      <c r="AM945" s="2"/>
      <c r="AN945" s="3"/>
      <c r="AO945" s="3"/>
      <c r="AP945" s="3"/>
      <c r="AQ945" s="3"/>
    </row>
    <row r="946" spans="1:43" ht="15.75" customHeight="1">
      <c r="A946" s="52"/>
      <c r="B946" s="5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101"/>
      <c r="AI946" s="101"/>
      <c r="AJ946" s="112"/>
      <c r="AK946" s="3"/>
      <c r="AL946" s="1"/>
      <c r="AM946" s="2"/>
      <c r="AN946" s="3"/>
      <c r="AO946" s="3"/>
      <c r="AP946" s="3"/>
      <c r="AQ946" s="3"/>
    </row>
    <row r="947" spans="1:43" ht="15.75" customHeight="1">
      <c r="A947" s="52"/>
      <c r="B947" s="5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101"/>
      <c r="AI947" s="101"/>
      <c r="AJ947" s="112"/>
      <c r="AK947" s="3"/>
      <c r="AL947" s="1"/>
      <c r="AM947" s="2"/>
      <c r="AN947" s="3"/>
      <c r="AO947" s="3"/>
      <c r="AP947" s="3"/>
      <c r="AQ947" s="3"/>
    </row>
    <row r="948" spans="1:43" ht="15.75" customHeight="1">
      <c r="A948" s="52"/>
      <c r="B948" s="5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101"/>
      <c r="AI948" s="101"/>
      <c r="AJ948" s="112"/>
      <c r="AK948" s="3"/>
      <c r="AL948" s="1"/>
      <c r="AM948" s="2"/>
      <c r="AN948" s="3"/>
      <c r="AO948" s="3"/>
      <c r="AP948" s="3"/>
      <c r="AQ948" s="3"/>
    </row>
    <row r="949" spans="1:43" ht="15.75" customHeight="1">
      <c r="A949" s="52"/>
      <c r="B949" s="5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101"/>
      <c r="AI949" s="101"/>
      <c r="AJ949" s="112"/>
      <c r="AK949" s="3"/>
      <c r="AL949" s="1"/>
      <c r="AM949" s="2"/>
      <c r="AN949" s="3"/>
      <c r="AO949" s="3"/>
      <c r="AP949" s="3"/>
      <c r="AQ949" s="3"/>
    </row>
    <row r="950" spans="1:43" ht="15.75" customHeight="1">
      <c r="A950" s="52"/>
      <c r="B950" s="5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101"/>
      <c r="AI950" s="101"/>
      <c r="AJ950" s="112"/>
      <c r="AK950" s="3"/>
      <c r="AL950" s="1"/>
      <c r="AM950" s="2"/>
      <c r="AN950" s="3"/>
      <c r="AO950" s="3"/>
      <c r="AP950" s="3"/>
      <c r="AQ950" s="3"/>
    </row>
    <row r="951" spans="1:43" ht="15.75" customHeight="1">
      <c r="A951" s="52"/>
      <c r="B951" s="5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101"/>
      <c r="AI951" s="101"/>
      <c r="AJ951" s="112"/>
      <c r="AK951" s="3"/>
      <c r="AL951" s="1"/>
      <c r="AM951" s="2"/>
      <c r="AN951" s="3"/>
      <c r="AO951" s="3"/>
      <c r="AP951" s="3"/>
      <c r="AQ951" s="3"/>
    </row>
    <row r="952" spans="1:43" ht="15.75" customHeight="1">
      <c r="A952" s="52"/>
      <c r="B952" s="5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101"/>
      <c r="AI952" s="101"/>
      <c r="AJ952" s="112"/>
      <c r="AK952" s="3"/>
      <c r="AL952" s="1"/>
      <c r="AM952" s="2"/>
      <c r="AN952" s="3"/>
      <c r="AO952" s="3"/>
      <c r="AP952" s="3"/>
      <c r="AQ952" s="3"/>
    </row>
    <row r="953" spans="1:43" ht="15.75" customHeight="1">
      <c r="A953" s="52"/>
      <c r="B953" s="5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101"/>
      <c r="AI953" s="101"/>
      <c r="AJ953" s="112"/>
      <c r="AK953" s="3"/>
      <c r="AL953" s="1"/>
      <c r="AM953" s="2"/>
      <c r="AN953" s="3"/>
      <c r="AO953" s="3"/>
      <c r="AP953" s="3"/>
      <c r="AQ953" s="3"/>
    </row>
    <row r="954" spans="1:43" ht="15.75" customHeight="1">
      <c r="A954" s="52"/>
      <c r="B954" s="5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101"/>
      <c r="AI954" s="101"/>
      <c r="AJ954" s="112"/>
      <c r="AK954" s="3"/>
      <c r="AL954" s="1"/>
      <c r="AM954" s="2"/>
      <c r="AN954" s="3"/>
      <c r="AO954" s="3"/>
      <c r="AP954" s="3"/>
      <c r="AQ954" s="3"/>
    </row>
    <row r="955" spans="1:43" ht="15.75" customHeight="1">
      <c r="A955" s="52"/>
      <c r="B955" s="5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101"/>
      <c r="AI955" s="101"/>
      <c r="AJ955" s="112"/>
      <c r="AK955" s="3"/>
      <c r="AL955" s="1"/>
      <c r="AM955" s="2"/>
      <c r="AN955" s="3"/>
      <c r="AO955" s="3"/>
      <c r="AP955" s="3"/>
      <c r="AQ955" s="3"/>
    </row>
    <row r="956" spans="1:43" ht="15.75" customHeight="1">
      <c r="A956" s="52"/>
      <c r="B956" s="5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101"/>
      <c r="AI956" s="101"/>
      <c r="AJ956" s="112"/>
      <c r="AK956" s="3"/>
      <c r="AL956" s="1"/>
      <c r="AM956" s="2"/>
      <c r="AN956" s="3"/>
      <c r="AO956" s="3"/>
      <c r="AP956" s="3"/>
      <c r="AQ956" s="3"/>
    </row>
    <row r="957" spans="1:43" ht="15.75" customHeight="1">
      <c r="A957" s="52"/>
      <c r="B957" s="5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101"/>
      <c r="AI957" s="101"/>
      <c r="AJ957" s="112"/>
      <c r="AK957" s="3"/>
      <c r="AL957" s="1"/>
      <c r="AM957" s="2"/>
      <c r="AN957" s="3"/>
      <c r="AO957" s="3"/>
      <c r="AP957" s="3"/>
      <c r="AQ957" s="3"/>
    </row>
    <row r="958" spans="1:43" ht="15.75" customHeight="1">
      <c r="A958" s="52"/>
      <c r="B958" s="5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101"/>
      <c r="AI958" s="101"/>
      <c r="AJ958" s="112"/>
      <c r="AK958" s="3"/>
      <c r="AL958" s="1"/>
      <c r="AM958" s="2"/>
      <c r="AN958" s="3"/>
      <c r="AO958" s="3"/>
      <c r="AP958" s="3"/>
      <c r="AQ958" s="3"/>
    </row>
    <row r="959" spans="1:43" ht="15.75" customHeight="1">
      <c r="A959" s="52"/>
      <c r="B959" s="5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101"/>
      <c r="AI959" s="101"/>
      <c r="AJ959" s="112"/>
      <c r="AK959" s="3"/>
      <c r="AL959" s="1"/>
      <c r="AM959" s="2"/>
      <c r="AN959" s="3"/>
      <c r="AO959" s="3"/>
      <c r="AP959" s="3"/>
      <c r="AQ959" s="3"/>
    </row>
    <row r="960" spans="1:43" ht="15.75" customHeight="1">
      <c r="A960" s="52"/>
      <c r="B960" s="5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101"/>
      <c r="AI960" s="101"/>
      <c r="AJ960" s="112"/>
      <c r="AK960" s="3"/>
      <c r="AL960" s="1"/>
      <c r="AM960" s="2"/>
      <c r="AN960" s="3"/>
      <c r="AO960" s="3"/>
      <c r="AP960" s="3"/>
      <c r="AQ960" s="3"/>
    </row>
    <row r="961" spans="1:43" ht="15.75" customHeight="1">
      <c r="A961" s="52"/>
      <c r="B961" s="5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101"/>
      <c r="AI961" s="101"/>
      <c r="AJ961" s="112"/>
      <c r="AK961" s="3"/>
      <c r="AL961" s="1"/>
      <c r="AM961" s="2"/>
      <c r="AN961" s="3"/>
      <c r="AO961" s="3"/>
      <c r="AP961" s="3"/>
      <c r="AQ961" s="3"/>
    </row>
    <row r="962" spans="1:43" ht="15.75" customHeight="1">
      <c r="A962" s="52"/>
      <c r="B962" s="5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101"/>
      <c r="AI962" s="101"/>
      <c r="AJ962" s="112"/>
      <c r="AK962" s="3"/>
      <c r="AL962" s="1"/>
      <c r="AM962" s="2"/>
      <c r="AN962" s="3"/>
      <c r="AO962" s="3"/>
      <c r="AP962" s="3"/>
      <c r="AQ962" s="3"/>
    </row>
    <row r="963" spans="1:43" ht="15.75" customHeight="1">
      <c r="A963" s="52"/>
      <c r="B963" s="5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101"/>
      <c r="AI963" s="101"/>
      <c r="AJ963" s="112"/>
      <c r="AK963" s="3"/>
      <c r="AL963" s="1"/>
      <c r="AM963" s="2"/>
      <c r="AN963" s="3"/>
      <c r="AO963" s="3"/>
      <c r="AP963" s="3"/>
      <c r="AQ963" s="3"/>
    </row>
    <row r="964" spans="1:43" ht="15.75" customHeight="1">
      <c r="A964" s="52"/>
      <c r="B964" s="5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101"/>
      <c r="AI964" s="101"/>
      <c r="AJ964" s="112"/>
      <c r="AK964" s="3"/>
      <c r="AL964" s="1"/>
      <c r="AM964" s="2"/>
      <c r="AN964" s="3"/>
      <c r="AO964" s="3"/>
      <c r="AP964" s="3"/>
      <c r="AQ964" s="3"/>
    </row>
    <row r="965" spans="1:43" ht="15.75" customHeight="1">
      <c r="A965" s="52"/>
      <c r="B965" s="5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101"/>
      <c r="AI965" s="101"/>
      <c r="AJ965" s="112"/>
      <c r="AK965" s="3"/>
      <c r="AL965" s="1"/>
      <c r="AM965" s="2"/>
      <c r="AN965" s="3"/>
      <c r="AO965" s="3"/>
      <c r="AP965" s="3"/>
      <c r="AQ965" s="3"/>
    </row>
    <row r="966" spans="1:43" ht="15.75" customHeight="1">
      <c r="A966" s="52"/>
      <c r="B966" s="5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101"/>
      <c r="AI966" s="101"/>
      <c r="AJ966" s="112"/>
      <c r="AK966" s="3"/>
      <c r="AL966" s="1"/>
      <c r="AM966" s="2"/>
      <c r="AN966" s="3"/>
      <c r="AO966" s="3"/>
      <c r="AP966" s="3"/>
      <c r="AQ966" s="3"/>
    </row>
    <row r="967" spans="1:43" ht="15.75" customHeight="1">
      <c r="A967" s="52"/>
      <c r="B967" s="5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101"/>
      <c r="AI967" s="101"/>
      <c r="AJ967" s="112"/>
      <c r="AK967" s="3"/>
      <c r="AL967" s="1"/>
      <c r="AM967" s="2"/>
      <c r="AN967" s="3"/>
      <c r="AO967" s="3"/>
      <c r="AP967" s="3"/>
      <c r="AQ967" s="3"/>
    </row>
    <row r="968" spans="1:43" ht="15.75" customHeight="1">
      <c r="A968" s="52"/>
      <c r="B968" s="5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101"/>
      <c r="AI968" s="101"/>
      <c r="AJ968" s="112"/>
      <c r="AK968" s="3"/>
      <c r="AL968" s="1"/>
      <c r="AM968" s="2"/>
      <c r="AN968" s="3"/>
      <c r="AO968" s="3"/>
      <c r="AP968" s="3"/>
      <c r="AQ968" s="3"/>
    </row>
    <row r="969" spans="1:43" ht="15.75" customHeight="1">
      <c r="A969" s="52"/>
      <c r="B969" s="5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101"/>
      <c r="AI969" s="101"/>
      <c r="AJ969" s="112"/>
      <c r="AK969" s="3"/>
      <c r="AL969" s="1"/>
      <c r="AM969" s="2"/>
      <c r="AN969" s="3"/>
      <c r="AO969" s="3"/>
      <c r="AP969" s="3"/>
      <c r="AQ969" s="3"/>
    </row>
    <row r="970" spans="1:43" ht="15.75" customHeight="1">
      <c r="A970" s="52"/>
      <c r="B970" s="5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101"/>
      <c r="AI970" s="101"/>
      <c r="AJ970" s="112"/>
      <c r="AK970" s="3"/>
      <c r="AL970" s="1"/>
      <c r="AM970" s="2"/>
      <c r="AN970" s="3"/>
      <c r="AO970" s="3"/>
      <c r="AP970" s="3"/>
      <c r="AQ970" s="3"/>
    </row>
    <row r="971" spans="1:43" ht="15.75" customHeight="1">
      <c r="A971" s="52"/>
      <c r="B971" s="5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101"/>
      <c r="AI971" s="101"/>
      <c r="AJ971" s="112"/>
      <c r="AK971" s="3"/>
      <c r="AL971" s="1"/>
      <c r="AM971" s="2"/>
      <c r="AN971" s="3"/>
      <c r="AO971" s="3"/>
      <c r="AP971" s="3"/>
      <c r="AQ971" s="3"/>
    </row>
    <row r="972" spans="1:43" ht="15.75" customHeight="1">
      <c r="A972" s="52"/>
      <c r="B972" s="5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101"/>
      <c r="AI972" s="101"/>
      <c r="AJ972" s="112"/>
      <c r="AK972" s="3"/>
      <c r="AL972" s="1"/>
      <c r="AM972" s="2"/>
      <c r="AN972" s="3"/>
      <c r="AO972" s="3"/>
      <c r="AP972" s="3"/>
      <c r="AQ972" s="3"/>
    </row>
    <row r="973" spans="1:43" ht="15.75" customHeight="1">
      <c r="A973" s="52"/>
      <c r="B973" s="5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101"/>
      <c r="AI973" s="101"/>
      <c r="AJ973" s="112"/>
      <c r="AK973" s="3"/>
      <c r="AL973" s="1"/>
      <c r="AM973" s="2"/>
      <c r="AN973" s="3"/>
      <c r="AO973" s="3"/>
      <c r="AP973" s="3"/>
      <c r="AQ973" s="3"/>
    </row>
    <row r="974" spans="1:43" ht="15.75" customHeight="1">
      <c r="A974" s="52"/>
      <c r="B974" s="5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101"/>
      <c r="AI974" s="101"/>
      <c r="AJ974" s="112"/>
      <c r="AK974" s="3"/>
      <c r="AL974" s="1"/>
      <c r="AM974" s="2"/>
      <c r="AN974" s="3"/>
      <c r="AO974" s="3"/>
      <c r="AP974" s="3"/>
      <c r="AQ974" s="3"/>
    </row>
    <row r="975" spans="1:43" ht="15.75" customHeight="1">
      <c r="A975" s="52"/>
      <c r="B975" s="5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101"/>
      <c r="AI975" s="101"/>
      <c r="AJ975" s="112"/>
      <c r="AK975" s="3"/>
      <c r="AL975" s="1"/>
      <c r="AM975" s="2"/>
      <c r="AN975" s="3"/>
      <c r="AO975" s="3"/>
      <c r="AP975" s="3"/>
      <c r="AQ975" s="3"/>
    </row>
    <row r="976" spans="1:43" ht="15.75" customHeight="1">
      <c r="A976" s="52"/>
      <c r="B976" s="5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101"/>
      <c r="AI976" s="101"/>
      <c r="AJ976" s="112"/>
      <c r="AK976" s="3"/>
      <c r="AL976" s="1"/>
      <c r="AM976" s="2"/>
      <c r="AN976" s="3"/>
      <c r="AO976" s="3"/>
      <c r="AP976" s="3"/>
      <c r="AQ976" s="3"/>
    </row>
    <row r="977" spans="1:43" ht="15.75" customHeight="1">
      <c r="A977" s="52"/>
      <c r="B977" s="5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101"/>
      <c r="AI977" s="101"/>
      <c r="AJ977" s="112"/>
      <c r="AK977" s="3"/>
      <c r="AL977" s="1"/>
      <c r="AM977" s="2"/>
      <c r="AN977" s="3"/>
      <c r="AO977" s="3"/>
      <c r="AP977" s="3"/>
      <c r="AQ977" s="3"/>
    </row>
    <row r="978" spans="1:43" ht="15.75" customHeight="1">
      <c r="A978" s="52"/>
      <c r="B978" s="5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101"/>
      <c r="AI978" s="101"/>
      <c r="AJ978" s="112"/>
      <c r="AK978" s="3"/>
      <c r="AL978" s="1"/>
      <c r="AM978" s="2"/>
      <c r="AN978" s="3"/>
      <c r="AO978" s="3"/>
      <c r="AP978" s="3"/>
      <c r="AQ978" s="3"/>
    </row>
    <row r="979" spans="1:43" ht="15.75" customHeight="1">
      <c r="A979" s="52"/>
      <c r="B979" s="5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101"/>
      <c r="AI979" s="101"/>
      <c r="AJ979" s="112"/>
      <c r="AK979" s="3"/>
      <c r="AL979" s="1"/>
      <c r="AM979" s="2"/>
      <c r="AN979" s="3"/>
      <c r="AO979" s="3"/>
      <c r="AP979" s="3"/>
      <c r="AQ979" s="3"/>
    </row>
    <row r="980" spans="1:43" ht="15.75" customHeight="1">
      <c r="A980" s="52"/>
      <c r="B980" s="5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101"/>
      <c r="AI980" s="101"/>
      <c r="AJ980" s="112"/>
      <c r="AK980" s="3"/>
      <c r="AL980" s="1"/>
      <c r="AM980" s="2"/>
      <c r="AN980" s="3"/>
      <c r="AO980" s="3"/>
      <c r="AP980" s="3"/>
      <c r="AQ980" s="3"/>
    </row>
    <row r="981" spans="1:43" ht="15.75" customHeight="1">
      <c r="A981" s="52"/>
      <c r="B981" s="5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101"/>
      <c r="AI981" s="101"/>
      <c r="AJ981" s="112"/>
      <c r="AK981" s="3"/>
      <c r="AL981" s="1"/>
      <c r="AM981" s="2"/>
      <c r="AN981" s="3"/>
      <c r="AO981" s="3"/>
      <c r="AP981" s="3"/>
      <c r="AQ981" s="3"/>
    </row>
  </sheetData>
  <mergeCells count="11">
    <mergeCell ref="AL3:AM3"/>
    <mergeCell ref="I168:Z168"/>
    <mergeCell ref="M1:W1"/>
    <mergeCell ref="AA1:AG1"/>
    <mergeCell ref="AH1:AJ1"/>
    <mergeCell ref="AC2:AF2"/>
    <mergeCell ref="AL4:AM4"/>
    <mergeCell ref="AL9:AM9"/>
    <mergeCell ref="M23:W24"/>
    <mergeCell ref="M112:W114"/>
    <mergeCell ref="I166:AK166"/>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AGATHA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wibowo</dc:creator>
  <cp:lastModifiedBy>Juli Yandi Rahman</cp:lastModifiedBy>
  <dcterms:created xsi:type="dcterms:W3CDTF">2023-09-26T07:57:00Z</dcterms:created>
  <dcterms:modified xsi:type="dcterms:W3CDTF">2023-11-05T17:30:06Z</dcterms:modified>
</cp:coreProperties>
</file>